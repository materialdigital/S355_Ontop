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Gfs05\g15\522SERV\Antragsarbeiten\Interne_Aufträge\430_Material_Digital\"/>
    </mc:Choice>
  </mc:AlternateContent>
  <xr:revisionPtr revIDLastSave="0" documentId="13_ncr:1_{CCF92789-3386-4BDD-B1DE-3C3023A3555C}" xr6:coauthVersionLast="46" xr6:coauthVersionMax="46" xr10:uidLastSave="{00000000-0000-0000-0000-000000000000}"/>
  <bookViews>
    <workbookView xWindow="-120" yWindow="-120" windowWidth="29040" windowHeight="17640" tabRatio="861" xr2:uid="{00000000-000D-0000-FFFF-FFFF00000000}"/>
  </bookViews>
  <sheets>
    <sheet name="Probendimensionen" sheetId="9" r:id="rId1"/>
    <sheet name="E-Modul_rechteck" sheetId="3" r:id="rId2"/>
    <sheet name="G-Modul_rechteck" sheetId="6" r:id="rId3"/>
    <sheet name="E-Modul_rund" sheetId="7" r:id="rId4"/>
    <sheet name="G-Modul_rund" sheetId="8" r:id="rId5"/>
  </sheets>
  <definedNames>
    <definedName name="_xlnm.Print_Area" localSheetId="1">'E-Modul_rechteck'!$A$1:$K$30</definedName>
    <definedName name="_xlnm.Print_Area" localSheetId="3">'E-Modul_rund'!$A$1:$K$25</definedName>
    <definedName name="_xlnm.Print_Area" localSheetId="4">'G-Modul_rund'!$A$1:$K$28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3" l="1"/>
  <c r="B4" i="3" l="1"/>
  <c r="B4" i="6" s="1"/>
  <c r="D20" i="9"/>
  <c r="B21" i="9" l="1"/>
  <c r="B6" i="7"/>
  <c r="B6" i="3"/>
  <c r="B5" i="3"/>
  <c r="B5" i="7"/>
  <c r="B4" i="7"/>
  <c r="B31" i="9" l="1"/>
  <c r="B14" i="3" s="1"/>
  <c r="B19" i="9"/>
  <c r="E19" i="9" l="1"/>
  <c r="D19" i="9"/>
  <c r="C19" i="9"/>
  <c r="C21" i="9" l="1"/>
  <c r="B30" i="9" s="1"/>
  <c r="B13" i="7" l="1"/>
  <c r="B13" i="3"/>
  <c r="C30" i="9"/>
  <c r="C22" i="9"/>
  <c r="B22" i="9"/>
  <c r="B20" i="9"/>
  <c r="E21" i="9" l="1"/>
  <c r="G13" i="7"/>
  <c r="H13" i="7"/>
  <c r="I13" i="7"/>
  <c r="J13" i="7"/>
  <c r="K13" i="7"/>
  <c r="G12" i="7"/>
  <c r="H12" i="7"/>
  <c r="I12" i="7"/>
  <c r="J12" i="7"/>
  <c r="K12" i="7"/>
  <c r="D9" i="6"/>
  <c r="E9" i="6"/>
  <c r="F9" i="6"/>
  <c r="G9" i="6"/>
  <c r="H9" i="6"/>
  <c r="I9" i="6"/>
  <c r="J9" i="6"/>
  <c r="K9" i="6"/>
  <c r="C9" i="6"/>
  <c r="D9" i="8"/>
  <c r="E9" i="8"/>
  <c r="F9" i="8"/>
  <c r="G9" i="8"/>
  <c r="H9" i="8"/>
  <c r="I9" i="8"/>
  <c r="J9" i="8"/>
  <c r="K9" i="8"/>
  <c r="C9" i="8"/>
  <c r="E22" i="9" l="1"/>
  <c r="C28" i="9"/>
  <c r="D21" i="9"/>
  <c r="B23" i="9" s="1"/>
  <c r="E20" i="9"/>
  <c r="A30" i="9"/>
  <c r="D22" i="9" l="1"/>
  <c r="D30" i="9"/>
  <c r="D31" i="9"/>
  <c r="B13" i="8" l="1"/>
  <c r="G13" i="3"/>
  <c r="K13" i="3"/>
  <c r="F13" i="3"/>
  <c r="H13" i="3"/>
  <c r="I13" i="3"/>
  <c r="E13" i="3"/>
  <c r="J13" i="3"/>
  <c r="D13" i="3"/>
  <c r="C20" i="9"/>
  <c r="C31" i="9"/>
  <c r="A31" i="9"/>
  <c r="C8" i="9"/>
  <c r="B8" i="9" l="1"/>
  <c r="F14" i="3" l="1"/>
  <c r="J14" i="3"/>
  <c r="H14" i="3"/>
  <c r="I14" i="3"/>
  <c r="G14" i="3"/>
  <c r="K14" i="3"/>
  <c r="E14" i="3"/>
  <c r="D13" i="7"/>
  <c r="C13" i="7"/>
  <c r="F13" i="7"/>
  <c r="E13" i="7"/>
  <c r="D14" i="3"/>
  <c r="C14" i="3"/>
  <c r="E30" i="9"/>
  <c r="B28" i="9"/>
  <c r="B11" i="7" l="1"/>
  <c r="B11" i="8" s="1"/>
  <c r="B11" i="3"/>
  <c r="B11" i="6" s="1"/>
  <c r="E31" i="9"/>
  <c r="C11" i="3" l="1"/>
  <c r="C11" i="6" s="1"/>
  <c r="D23" i="9"/>
  <c r="C32" i="9" s="1"/>
  <c r="D29" i="9"/>
  <c r="B29" i="9"/>
  <c r="B12" i="3" s="1"/>
  <c r="C12" i="3" s="1"/>
  <c r="C29" i="9"/>
  <c r="E29" i="9" s="1"/>
  <c r="B12" i="7" l="1"/>
  <c r="B12" i="8" s="1"/>
  <c r="C12" i="6"/>
  <c r="H12" i="3"/>
  <c r="F12" i="3"/>
  <c r="G12" i="3"/>
  <c r="E12" i="3"/>
  <c r="I12" i="3"/>
  <c r="J12" i="3"/>
  <c r="K12" i="3"/>
  <c r="D12" i="3"/>
  <c r="D12" i="6" s="1"/>
  <c r="B24" i="9"/>
  <c r="B32" i="9"/>
  <c r="D24" i="9" l="1"/>
  <c r="C33" i="9" s="1"/>
  <c r="D12" i="7"/>
  <c r="E12" i="7"/>
  <c r="C12" i="7"/>
  <c r="F12" i="7"/>
  <c r="B33" i="9"/>
  <c r="B6" i="8" l="1"/>
  <c r="B5" i="8"/>
  <c r="B4" i="8"/>
  <c r="C10" i="8"/>
  <c r="K10" i="8"/>
  <c r="J10" i="8"/>
  <c r="I10" i="8"/>
  <c r="H10" i="8"/>
  <c r="G10" i="8"/>
  <c r="F10" i="8"/>
  <c r="E10" i="8"/>
  <c r="D10" i="8"/>
  <c r="J16" i="8"/>
  <c r="B14" i="6"/>
  <c r="B13" i="6"/>
  <c r="B12" i="6"/>
  <c r="K10" i="6"/>
  <c r="J10" i="6"/>
  <c r="I10" i="6"/>
  <c r="H10" i="6"/>
  <c r="G10" i="6"/>
  <c r="F10" i="6"/>
  <c r="E10" i="6"/>
  <c r="D10" i="6"/>
  <c r="C10" i="6"/>
  <c r="B6" i="6"/>
  <c r="B5" i="6"/>
  <c r="B15" i="7"/>
  <c r="B17" i="7" s="1"/>
  <c r="B18" i="8" s="1"/>
  <c r="B17" i="3"/>
  <c r="B20" i="3" s="1"/>
  <c r="B20" i="6" s="1"/>
  <c r="K12" i="8"/>
  <c r="K11" i="7"/>
  <c r="K11" i="8" s="1"/>
  <c r="K14" i="6"/>
  <c r="K13" i="6"/>
  <c r="K12" i="6"/>
  <c r="K11" i="3"/>
  <c r="K11" i="6" s="1"/>
  <c r="J13" i="8"/>
  <c r="I13" i="8"/>
  <c r="H13" i="8"/>
  <c r="G13" i="8"/>
  <c r="F13" i="8"/>
  <c r="E13" i="8"/>
  <c r="D13" i="8"/>
  <c r="J12" i="8"/>
  <c r="I12" i="8"/>
  <c r="G12" i="8"/>
  <c r="G15" i="7"/>
  <c r="G17" i="7" s="1"/>
  <c r="G18" i="8" s="1"/>
  <c r="F12" i="8"/>
  <c r="F15" i="7"/>
  <c r="E12" i="8"/>
  <c r="D12" i="8"/>
  <c r="C12" i="8"/>
  <c r="J11" i="7"/>
  <c r="J11" i="8" s="1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J14" i="6"/>
  <c r="I14" i="6"/>
  <c r="H14" i="6"/>
  <c r="G14" i="6"/>
  <c r="F14" i="6"/>
  <c r="E14" i="6"/>
  <c r="D14" i="6"/>
  <c r="C14" i="6"/>
  <c r="J13" i="6"/>
  <c r="I13" i="6"/>
  <c r="H13" i="6"/>
  <c r="G13" i="6"/>
  <c r="F13" i="6"/>
  <c r="E13" i="6"/>
  <c r="D13" i="6"/>
  <c r="C13" i="6"/>
  <c r="I12" i="6"/>
  <c r="G12" i="6"/>
  <c r="F12" i="6"/>
  <c r="E12" i="6"/>
  <c r="J11" i="3"/>
  <c r="J11" i="6" s="1"/>
  <c r="I11" i="3"/>
  <c r="I11" i="6" s="1"/>
  <c r="H11" i="3"/>
  <c r="H11" i="6" s="1"/>
  <c r="G11" i="3"/>
  <c r="G11" i="6" s="1"/>
  <c r="F11" i="3"/>
  <c r="F11" i="6" s="1"/>
  <c r="E11" i="3"/>
  <c r="E11" i="6" s="1"/>
  <c r="D11" i="3"/>
  <c r="D11" i="6" s="1"/>
  <c r="B16" i="8"/>
  <c r="B18" i="3"/>
  <c r="B21" i="3" s="1"/>
  <c r="H15" i="7" l="1"/>
  <c r="H17" i="7" s="1"/>
  <c r="H18" i="8" s="1"/>
  <c r="H12" i="8"/>
  <c r="K15" i="7"/>
  <c r="K17" i="7" s="1"/>
  <c r="K18" i="8" s="1"/>
  <c r="K13" i="8"/>
  <c r="C15" i="7"/>
  <c r="C17" i="7" s="1"/>
  <c r="C18" i="8" s="1"/>
  <c r="C13" i="8"/>
  <c r="D16" i="8"/>
  <c r="H17" i="3"/>
  <c r="H12" i="6"/>
  <c r="J17" i="3"/>
  <c r="J12" i="6"/>
  <c r="F16" i="8"/>
  <c r="F17" i="7"/>
  <c r="F18" i="8" s="1"/>
  <c r="D15" i="7"/>
  <c r="D17" i="7" s="1"/>
  <c r="D18" i="8" s="1"/>
  <c r="D19" i="8" s="1"/>
  <c r="J15" i="7"/>
  <c r="J17" i="7" s="1"/>
  <c r="J18" i="8" s="1"/>
  <c r="J19" i="8" s="1"/>
  <c r="E15" i="7"/>
  <c r="E17" i="7" s="1"/>
  <c r="E18" i="8" s="1"/>
  <c r="I15" i="7"/>
  <c r="I17" i="7" s="1"/>
  <c r="I18" i="8" s="1"/>
  <c r="B19" i="8"/>
  <c r="H16" i="8"/>
  <c r="H19" i="8" s="1"/>
  <c r="H20" i="3"/>
  <c r="H20" i="6" s="1"/>
  <c r="K18" i="3"/>
  <c r="K21" i="3" s="1"/>
  <c r="K17" i="3"/>
  <c r="K20" i="3" s="1"/>
  <c r="K20" i="6" s="1"/>
  <c r="G18" i="3"/>
  <c r="G21" i="3" s="1"/>
  <c r="G17" i="3"/>
  <c r="G20" i="3" s="1"/>
  <c r="G20" i="6" s="1"/>
  <c r="I18" i="3"/>
  <c r="I21" i="3" s="1"/>
  <c r="D17" i="3"/>
  <c r="D20" i="3" s="1"/>
  <c r="D20" i="6" s="1"/>
  <c r="C17" i="3"/>
  <c r="C20" i="3" s="1"/>
  <c r="C20" i="6" s="1"/>
  <c r="J20" i="3"/>
  <c r="J20" i="6" s="1"/>
  <c r="J18" i="3"/>
  <c r="J21" i="3" s="1"/>
  <c r="J22" i="3" s="1"/>
  <c r="H18" i="3"/>
  <c r="H21" i="3" s="1"/>
  <c r="B17" i="6"/>
  <c r="B16" i="6"/>
  <c r="I17" i="3"/>
  <c r="I20" i="3" s="1"/>
  <c r="I20" i="6" s="1"/>
  <c r="F17" i="3"/>
  <c r="F20" i="3" s="1"/>
  <c r="F20" i="6" s="1"/>
  <c r="F18" i="3"/>
  <c r="F21" i="3" s="1"/>
  <c r="E17" i="3"/>
  <c r="E20" i="3" s="1"/>
  <c r="E20" i="6" s="1"/>
  <c r="E18" i="3"/>
  <c r="E21" i="3" s="1"/>
  <c r="D18" i="3"/>
  <c r="D21" i="3" s="1"/>
  <c r="C18" i="3"/>
  <c r="C21" i="3" s="1"/>
  <c r="B22" i="3"/>
  <c r="K16" i="8" l="1"/>
  <c r="K19" i="8" s="1"/>
  <c r="E16" i="8"/>
  <c r="E19" i="8" s="1"/>
  <c r="G16" i="8"/>
  <c r="G19" i="8" s="1"/>
  <c r="F19" i="8"/>
  <c r="I16" i="8"/>
  <c r="C16" i="8"/>
  <c r="C19" i="8" s="1"/>
  <c r="I19" i="8"/>
  <c r="H22" i="3"/>
  <c r="J17" i="6"/>
  <c r="J16" i="6"/>
  <c r="H16" i="6"/>
  <c r="I17" i="6"/>
  <c r="E22" i="3"/>
  <c r="B18" i="6"/>
  <c r="B21" i="6" s="1"/>
  <c r="I16" i="6"/>
  <c r="H17" i="6"/>
  <c r="F22" i="3"/>
  <c r="D22" i="3"/>
  <c r="F17" i="6"/>
  <c r="F16" i="6"/>
  <c r="I22" i="3"/>
  <c r="D17" i="6"/>
  <c r="D16" i="6"/>
  <c r="G16" i="6"/>
  <c r="G17" i="6"/>
  <c r="E17" i="6"/>
  <c r="E16" i="6"/>
  <c r="K16" i="6"/>
  <c r="K17" i="6"/>
  <c r="C16" i="6"/>
  <c r="C17" i="6"/>
  <c r="G22" i="3"/>
  <c r="K22" i="3"/>
  <c r="C22" i="3"/>
  <c r="J18" i="6" l="1"/>
  <c r="J21" i="6" s="1"/>
  <c r="H18" i="6"/>
  <c r="H21" i="6" s="1"/>
  <c r="I18" i="6"/>
  <c r="I21" i="6" s="1"/>
  <c r="C18" i="6"/>
  <c r="C21" i="6" s="1"/>
  <c r="K18" i="6"/>
  <c r="K21" i="6" s="1"/>
  <c r="F18" i="6"/>
  <c r="F21" i="6" s="1"/>
  <c r="D18" i="6"/>
  <c r="D21" i="6" s="1"/>
  <c r="E18" i="6"/>
  <c r="E21" i="6" s="1"/>
  <c r="G18" i="6"/>
  <c r="G21" i="6" s="1"/>
</calcChain>
</file>

<file path=xl/sharedStrings.xml><?xml version="1.0" encoding="utf-8"?>
<sst xmlns="http://schemas.openxmlformats.org/spreadsheetml/2006/main" count="192" uniqueCount="95">
  <si>
    <t>Größen</t>
  </si>
  <si>
    <t>Temperatur [°C]</t>
  </si>
  <si>
    <t>E fk (GPa)</t>
  </si>
  <si>
    <t>E hk (GPa)</t>
  </si>
  <si>
    <t>alpha (1/K)</t>
  </si>
  <si>
    <t>Mittelwert (GPa)</t>
  </si>
  <si>
    <t>Material:</t>
  </si>
  <si>
    <t>Prüfer:</t>
  </si>
  <si>
    <t>Datum:</t>
  </si>
  <si>
    <t>Prüfleiter:</t>
  </si>
  <si>
    <t>Biegeresonanz eines Probekörpers mit rundem Querschnitt</t>
  </si>
  <si>
    <t>Biegeresonanz eines Probekörpers mit rechteckigem Querschnitt</t>
  </si>
  <si>
    <t>Torsionsresonanz eines Probekörpers mit rechteckigem Querschnitt</t>
  </si>
  <si>
    <t>m (g)</t>
  </si>
  <si>
    <t>L (mm)</t>
  </si>
  <si>
    <t>b-Breite (mm)</t>
  </si>
  <si>
    <t>Eingabe nur in die farblich gekennzeichneten Felder</t>
  </si>
  <si>
    <t>Auftrags-Nr.:</t>
  </si>
  <si>
    <t>t-Dicke (mm)</t>
  </si>
  <si>
    <t>B</t>
  </si>
  <si>
    <t>A</t>
  </si>
  <si>
    <t>D (mm)</t>
  </si>
  <si>
    <t>Proben-Nr:</t>
  </si>
  <si>
    <t>Torsionsresonanz eines Probekörpers mit rundem Querschnitt</t>
  </si>
  <si>
    <t>G (GPa)</t>
  </si>
  <si>
    <t>E (GPa)</t>
  </si>
  <si>
    <t>Prüferleiter:</t>
  </si>
  <si>
    <t>Prüferleiter</t>
  </si>
  <si>
    <t>Bemerkungen</t>
  </si>
  <si>
    <t>Versuchs-Nr.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</si>
  <si>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</si>
  <si>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</si>
  <si>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</si>
  <si>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</si>
  <si>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</si>
  <si>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</si>
  <si>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</si>
  <si>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</si>
  <si>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</si>
  <si>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</si>
  <si>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Bemerkung:</t>
  </si>
  <si>
    <t>Konditionen</t>
  </si>
  <si>
    <t>µ</t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</si>
  <si>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fk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</si>
  <si>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hk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</si>
  <si>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</t>
    </r>
    <r>
      <rPr>
        <sz val="11"/>
        <color indexed="8"/>
        <rFont val="Calibri"/>
        <family val="2"/>
        <scheme val="minor"/>
      </rPr>
      <t>fk)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</si>
  <si>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(hk)</t>
    </r>
  </si>
  <si>
    <r>
      <t>f</t>
    </r>
    <r>
      <rPr>
        <vertAlign val="subscript"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 xml:space="preserve"> (Hz)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</si>
  <si>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</si>
  <si>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'</t>
    </r>
  </si>
  <si>
    <t>Programm zur Berechnung der Probenparameter</t>
  </si>
  <si>
    <t>Material :</t>
  </si>
  <si>
    <t>Proben- Nr.</t>
  </si>
  <si>
    <t>Werte</t>
  </si>
  <si>
    <t>Länge</t>
  </si>
  <si>
    <t>Gewicht</t>
  </si>
  <si>
    <t>[mm]</t>
  </si>
  <si>
    <t>[g]</t>
  </si>
  <si>
    <t>Standardabw.</t>
  </si>
  <si>
    <t>Anzahl Messwerte</t>
  </si>
  <si>
    <t>Mittelwert</t>
  </si>
  <si>
    <t>Volumen</t>
  </si>
  <si>
    <t>+/-</t>
  </si>
  <si>
    <t>Dichte</t>
  </si>
  <si>
    <t>Parameter</t>
  </si>
  <si>
    <t>Wert</t>
  </si>
  <si>
    <t xml:space="preserve">Fehler </t>
  </si>
  <si>
    <t>DIN</t>
  </si>
  <si>
    <t>ASTM</t>
  </si>
  <si>
    <t>relativ</t>
  </si>
  <si>
    <t>Parallelität</t>
  </si>
  <si>
    <t>Fehler</t>
  </si>
  <si>
    <t>%</t>
  </si>
  <si>
    <t>erfüllt</t>
  </si>
  <si>
    <t>erfüllt:</t>
  </si>
  <si>
    <t>Masse      [g]</t>
  </si>
  <si>
    <t>Länge      [mm]</t>
  </si>
  <si>
    <t xml:space="preserve">Messmittel: </t>
  </si>
  <si>
    <t xml:space="preserve">Bügelmessschraube Vogel IP54, Id.-Nr 140219042   </t>
  </si>
  <si>
    <t xml:space="preserve">Messschieber Mitutoyo 500-312 (CD 20D)(Nr.7015071); Inv.-Nr. e 41069     </t>
  </si>
  <si>
    <t>Waage Sartorius BP210D-0CE (Nr. 60403839); Inv. 97020471</t>
  </si>
  <si>
    <t>Probenform</t>
  </si>
  <si>
    <r>
      <t>[cm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</si>
  <si>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r>
      <t>[g/cm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</si>
  <si>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r>
      <t>Volumen [cm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</si>
  <si>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r>
      <t>Dichte [g/cm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</si>
  <si>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t>rel. Fehler</t>
  </si>
  <si>
    <t>Rechteck</t>
  </si>
  <si>
    <t>E-Modulbestimmung nach ASTM E 1875 mit Berücksichtigung der thermischen Ausdehnung</t>
  </si>
  <si>
    <t>G-Modulbestimmung nach ASTM E 1875 mit Berücksichtigung der thermischen Ausdehnung</t>
  </si>
  <si>
    <t>ERX2</t>
  </si>
  <si>
    <t>5.22/430</t>
  </si>
  <si>
    <t>Ges. Spek.</t>
  </si>
  <si>
    <t>Einzelscan</t>
  </si>
  <si>
    <t>S355J2 +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</si>
</sst>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&quot;-&quot;??\ _€_-;_-@_-"/>
    <numFmt numFmtId="165" formatCode="0.00000"/>
    <numFmt numFmtId="166" formatCode="0.000000"/>
    <numFmt numFmtId="167" formatCode="0.0"/>
    <numFmt numFmtId="168" formatCode="0.000"/>
    <numFmt numFmtId="169" formatCode="0.0000E+00"/>
    <numFmt numFmtId="170" formatCode="0.00000000"/>
    <numFmt numFmtId="171" formatCode="0.000E+00"/>
    <numFmt numFmtId="172" formatCode="0.0000000"/>
  </numFmts>
  <fonts count="3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bscript"/>
      <sz val="11"/>
      <color indexed="8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i/>
      <u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u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9" fontId="20" fillId="0" borderId="0" applyFont="0" applyFill="0" applyBorder="0" applyAlignment="0" applyProtection="0"/>
  </cellStyleXfs>
  <cellXfs count="321">
    <xf numFmtId="0" fontId="0" fillId="0" borderId="0" xfId="0"/>
    <xf numFmtId="0" fontId="3" fillId="0" borderId="0" xfId="0" applyFont="1" applyProtection="1"/>
    <xf numFmtId="0" fontId="9" fillId="0" borderId="0" xfId="0" applyFont="1" applyProtection="1"/>
    <xf numFmtId="0" fontId="6" fillId="0" borderId="0" xfId="0" applyFont="1" applyProtection="1"/>
    <xf numFmtId="0" fontId="7" fillId="0" borderId="0" xfId="0" applyFont="1" applyProtection="1"/>
    <xf numFmtId="1" fontId="2" fillId="0" borderId="0" xfId="0" applyNumberFormat="1" applyFont="1" applyBorder="1" applyAlignment="1" applyProtection="1">
      <alignment horizontal="center"/>
    </xf>
    <xf numFmtId="166" fontId="4" fillId="0" borderId="0" xfId="1" applyNumberFormat="1" applyFont="1" applyBorder="1" applyAlignment="1" applyProtection="1">
      <alignment horizontal="center"/>
    </xf>
    <xf numFmtId="165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167" fontId="5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8" fillId="0" borderId="0" xfId="0" applyFont="1" applyProtection="1"/>
    <xf numFmtId="165" fontId="8" fillId="0" borderId="0" xfId="0" applyNumberFormat="1" applyFont="1" applyBorder="1" applyAlignment="1" applyProtection="1">
      <alignment horizontal="center"/>
    </xf>
    <xf numFmtId="166" fontId="8" fillId="0" borderId="0" xfId="0" applyNumberFormat="1" applyFont="1" applyBorder="1" applyAlignment="1" applyProtection="1">
      <alignment horizontal="center"/>
    </xf>
    <xf numFmtId="0" fontId="8" fillId="0" borderId="0" xfId="0" applyFont="1" applyBorder="1" applyProtection="1"/>
    <xf numFmtId="0" fontId="10" fillId="0" borderId="0" xfId="0" applyFont="1" applyAlignment="1" applyProtection="1"/>
    <xf numFmtId="0" fontId="10" fillId="0" borderId="0" xfId="0" applyFont="1" applyProtection="1"/>
    <xf numFmtId="0" fontId="10" fillId="0" borderId="0" xfId="0" applyFont="1" applyAlignment="1" applyProtection="1">
      <alignment horizontal="right"/>
    </xf>
    <xf numFmtId="168" fontId="10" fillId="0" borderId="0" xfId="1" applyNumberFormat="1" applyFont="1" applyFill="1" applyBorder="1" applyAlignment="1" applyProtection="1">
      <alignment horizontal="center"/>
      <protection locked="0"/>
    </xf>
    <xf numFmtId="1" fontId="11" fillId="0" borderId="2" xfId="0" applyNumberFormat="1" applyFont="1" applyBorder="1" applyAlignment="1" applyProtection="1">
      <alignment horizontal="center"/>
    </xf>
    <xf numFmtId="1" fontId="11" fillId="2" borderId="1" xfId="0" applyNumberFormat="1" applyFont="1" applyFill="1" applyBorder="1" applyAlignment="1" applyProtection="1">
      <alignment horizontal="center"/>
      <protection locked="0"/>
    </xf>
    <xf numFmtId="0" fontId="10" fillId="0" borderId="13" xfId="0" applyFont="1" applyFill="1" applyBorder="1" applyAlignment="1" applyProtection="1">
      <alignment horizontal="center"/>
    </xf>
    <xf numFmtId="169" fontId="10" fillId="2" borderId="9" xfId="0" applyNumberFormat="1" applyFont="1" applyFill="1" applyBorder="1" applyAlignment="1" applyProtection="1">
      <alignment horizontal="center"/>
      <protection locked="0"/>
    </xf>
    <xf numFmtId="168" fontId="12" fillId="0" borderId="3" xfId="1" applyNumberFormat="1" applyFont="1" applyBorder="1" applyAlignment="1" applyProtection="1">
      <alignment horizontal="center"/>
    </xf>
    <xf numFmtId="168" fontId="12" fillId="0" borderId="4" xfId="1" applyNumberFormat="1" applyFont="1" applyBorder="1" applyAlignment="1" applyProtection="1">
      <alignment horizontal="center"/>
    </xf>
    <xf numFmtId="2" fontId="10" fillId="0" borderId="3" xfId="0" applyNumberFormat="1" applyFont="1" applyBorder="1" applyAlignment="1" applyProtection="1">
      <alignment horizontal="center"/>
    </xf>
    <xf numFmtId="2" fontId="10" fillId="0" borderId="4" xfId="0" applyNumberFormat="1" applyFont="1" applyBorder="1" applyAlignment="1" applyProtection="1">
      <alignment horizontal="center"/>
    </xf>
    <xf numFmtId="168" fontId="10" fillId="2" borderId="8" xfId="0" applyNumberFormat="1" applyFont="1" applyFill="1" applyBorder="1" applyAlignment="1" applyProtection="1">
      <alignment horizontal="center"/>
      <protection locked="0"/>
    </xf>
    <xf numFmtId="168" fontId="10" fillId="0" borderId="3" xfId="0" applyNumberFormat="1" applyFont="1" applyBorder="1" applyAlignment="1" applyProtection="1">
      <alignment horizontal="center"/>
    </xf>
    <xf numFmtId="168" fontId="10" fillId="0" borderId="4" xfId="0" applyNumberFormat="1" applyFont="1" applyBorder="1" applyAlignment="1" applyProtection="1">
      <alignment horizontal="center"/>
    </xf>
    <xf numFmtId="168" fontId="10" fillId="2" borderId="3" xfId="0" applyNumberFormat="1" applyFont="1" applyFill="1" applyBorder="1" applyAlignment="1" applyProtection="1">
      <alignment horizontal="center"/>
      <protection locked="0"/>
    </xf>
    <xf numFmtId="168" fontId="10" fillId="2" borderId="4" xfId="0" applyNumberFormat="1" applyFont="1" applyFill="1" applyBorder="1" applyAlignment="1" applyProtection="1">
      <alignment horizontal="center"/>
      <protection locked="0"/>
    </xf>
    <xf numFmtId="170" fontId="10" fillId="0" borderId="8" xfId="0" applyNumberFormat="1" applyFont="1" applyBorder="1" applyAlignment="1" applyProtection="1">
      <alignment horizontal="center"/>
    </xf>
    <xf numFmtId="170" fontId="10" fillId="0" borderId="3" xfId="0" applyNumberFormat="1" applyFont="1" applyBorder="1" applyAlignment="1" applyProtection="1">
      <alignment horizontal="center"/>
    </xf>
    <xf numFmtId="170" fontId="10" fillId="0" borderId="4" xfId="0" applyNumberFormat="1" applyFont="1" applyBorder="1" applyAlignment="1" applyProtection="1">
      <alignment horizontal="center"/>
    </xf>
    <xf numFmtId="168" fontId="10" fillId="2" borderId="25" xfId="1" applyNumberFormat="1" applyFont="1" applyFill="1" applyBorder="1" applyAlignment="1" applyProtection="1">
      <alignment horizontal="center"/>
      <protection locked="0"/>
    </xf>
    <xf numFmtId="167" fontId="15" fillId="0" borderId="10" xfId="0" applyNumberFormat="1" applyFont="1" applyBorder="1" applyAlignment="1" applyProtection="1">
      <alignment horizontal="center" vertical="center"/>
    </xf>
    <xf numFmtId="167" fontId="15" fillId="0" borderId="11" xfId="0" applyNumberFormat="1" applyFont="1" applyBorder="1" applyAlignment="1" applyProtection="1">
      <alignment horizontal="center" vertical="center"/>
    </xf>
    <xf numFmtId="167" fontId="15" fillId="0" borderId="12" xfId="0" applyNumberFormat="1" applyFont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left" wrapText="1"/>
    </xf>
    <xf numFmtId="49" fontId="15" fillId="0" borderId="25" xfId="0" applyNumberFormat="1" applyFont="1" applyBorder="1" applyAlignment="1" applyProtection="1">
      <alignment horizontal="center" vertical="center"/>
    </xf>
    <xf numFmtId="49" fontId="15" fillId="0" borderId="26" xfId="0" applyNumberFormat="1" applyFont="1" applyBorder="1" applyAlignment="1" applyProtection="1">
      <alignment horizontal="center" vertical="center"/>
    </xf>
    <xf numFmtId="49" fontId="15" fillId="0" borderId="27" xfId="0" applyNumberFormat="1" applyFont="1" applyBorder="1" applyAlignment="1" applyProtection="1">
      <alignment horizontal="center" vertical="center"/>
    </xf>
    <xf numFmtId="49" fontId="15" fillId="3" borderId="25" xfId="0" applyNumberFormat="1" applyFont="1" applyFill="1" applyBorder="1" applyAlignment="1" applyProtection="1">
      <alignment horizontal="center" vertical="center"/>
      <protection locked="0"/>
    </xf>
    <xf numFmtId="49" fontId="15" fillId="3" borderId="26" xfId="0" applyNumberFormat="1" applyFont="1" applyFill="1" applyBorder="1" applyAlignment="1" applyProtection="1">
      <alignment horizontal="center" vertical="center"/>
      <protection locked="0"/>
    </xf>
    <xf numFmtId="49" fontId="15" fillId="3" borderId="27" xfId="0" applyNumberFormat="1" applyFont="1" applyFill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left" wrapText="1"/>
    </xf>
    <xf numFmtId="49" fontId="15" fillId="0" borderId="28" xfId="0" applyNumberFormat="1" applyFont="1" applyBorder="1" applyAlignment="1" applyProtection="1">
      <alignment horizontal="center" vertical="center"/>
    </xf>
    <xf numFmtId="0" fontId="11" fillId="0" borderId="18" xfId="0" applyFont="1" applyFill="1" applyBorder="1" applyProtection="1"/>
    <xf numFmtId="0" fontId="10" fillId="3" borderId="36" xfId="0" applyFont="1" applyFill="1" applyBorder="1" applyProtection="1">
      <protection locked="0"/>
    </xf>
    <xf numFmtId="0" fontId="10" fillId="3" borderId="21" xfId="0" applyFont="1" applyFill="1" applyBorder="1" applyProtection="1">
      <protection locked="0"/>
    </xf>
    <xf numFmtId="0" fontId="10" fillId="3" borderId="31" xfId="0" applyFont="1" applyFill="1" applyBorder="1" applyProtection="1">
      <protection locked="0"/>
    </xf>
    <xf numFmtId="0" fontId="11" fillId="0" borderId="20" xfId="0" applyFont="1" applyFill="1" applyBorder="1" applyProtection="1"/>
    <xf numFmtId="0" fontId="10" fillId="3" borderId="37" xfId="0" applyFont="1" applyFill="1" applyBorder="1" applyProtection="1">
      <protection locked="0"/>
    </xf>
    <xf numFmtId="0" fontId="10" fillId="3" borderId="22" xfId="0" applyFont="1" applyFill="1" applyBorder="1" applyProtection="1">
      <protection locked="0"/>
    </xf>
    <xf numFmtId="0" fontId="10" fillId="3" borderId="32" xfId="0" applyFont="1" applyFill="1" applyBorder="1" applyProtection="1">
      <protection locked="0"/>
    </xf>
    <xf numFmtId="0" fontId="11" fillId="0" borderId="19" xfId="0" applyFont="1" applyFill="1" applyBorder="1" applyProtection="1"/>
    <xf numFmtId="0" fontId="10" fillId="3" borderId="33" xfId="0" applyFont="1" applyFill="1" applyBorder="1" applyProtection="1">
      <protection locked="0"/>
    </xf>
    <xf numFmtId="0" fontId="10" fillId="3" borderId="34" xfId="0" applyFont="1" applyFill="1" applyBorder="1" applyProtection="1">
      <protection locked="0"/>
    </xf>
    <xf numFmtId="0" fontId="10" fillId="3" borderId="35" xfId="0" applyFont="1" applyFill="1" applyBorder="1" applyProtection="1">
      <protection locked="0"/>
    </xf>
    <xf numFmtId="0" fontId="16" fillId="0" borderId="0" xfId="0" applyFont="1" applyProtection="1"/>
    <xf numFmtId="0" fontId="17" fillId="0" borderId="0" xfId="0" applyFont="1" applyProtection="1"/>
    <xf numFmtId="0" fontId="18" fillId="0" borderId="0" xfId="0" applyFont="1" applyProtection="1"/>
    <xf numFmtId="0" fontId="19" fillId="0" borderId="0" xfId="0" applyFont="1" applyProtection="1"/>
    <xf numFmtId="0" fontId="11" fillId="0" borderId="0" xfId="0" applyFont="1" applyFill="1" applyBorder="1" applyProtection="1"/>
    <xf numFmtId="0" fontId="11" fillId="0" borderId="0" xfId="0" applyFont="1" applyProtection="1">
      <protection locked="0"/>
    </xf>
    <xf numFmtId="0" fontId="11" fillId="0" borderId="0" xfId="0" applyFont="1" applyProtection="1"/>
    <xf numFmtId="0" fontId="10" fillId="0" borderId="61" xfId="0" applyFont="1" applyBorder="1" applyAlignment="1" applyProtection="1">
      <alignment horizontal="left"/>
    </xf>
    <xf numFmtId="0" fontId="10" fillId="0" borderId="62" xfId="0" applyFont="1" applyBorder="1" applyAlignment="1" applyProtection="1">
      <alignment horizontal="left"/>
    </xf>
    <xf numFmtId="0" fontId="11" fillId="0" borderId="62" xfId="0" applyFont="1" applyBorder="1" applyAlignment="1" applyProtection="1">
      <alignment horizontal="left"/>
    </xf>
    <xf numFmtId="0" fontId="11" fillId="0" borderId="63" xfId="0" applyFont="1" applyBorder="1" applyAlignment="1" applyProtection="1">
      <alignment horizontal="left" wrapText="1"/>
    </xf>
    <xf numFmtId="167" fontId="15" fillId="0" borderId="13" xfId="0" applyNumberFormat="1" applyFont="1" applyBorder="1" applyAlignment="1" applyProtection="1">
      <alignment horizontal="center" vertical="center"/>
    </xf>
    <xf numFmtId="167" fontId="15" fillId="0" borderId="9" xfId="0" applyNumberFormat="1" applyFont="1" applyBorder="1" applyAlignment="1" applyProtection="1">
      <alignment horizontal="center" vertical="center"/>
    </xf>
    <xf numFmtId="167" fontId="15" fillId="0" borderId="14" xfId="0" applyNumberFormat="1" applyFont="1" applyBorder="1" applyAlignment="1" applyProtection="1">
      <alignment horizontal="center" vertical="center"/>
    </xf>
    <xf numFmtId="167" fontId="15" fillId="0" borderId="8" xfId="0" applyNumberFormat="1" applyFont="1" applyBorder="1" applyAlignment="1" applyProtection="1">
      <alignment horizontal="center" vertical="center"/>
    </xf>
    <xf numFmtId="167" fontId="15" fillId="0" borderId="3" xfId="0" applyNumberFormat="1" applyFont="1" applyBorder="1" applyAlignment="1" applyProtection="1">
      <alignment horizontal="center" vertical="center"/>
    </xf>
    <xf numFmtId="167" fontId="15" fillId="0" borderId="4" xfId="0" applyNumberFormat="1" applyFont="1" applyBorder="1" applyAlignment="1" applyProtection="1">
      <alignment horizontal="center" vertical="center"/>
    </xf>
    <xf numFmtId="0" fontId="10" fillId="3" borderId="7" xfId="0" applyFont="1" applyFill="1" applyBorder="1" applyProtection="1">
      <protection locked="0"/>
    </xf>
    <xf numFmtId="0" fontId="10" fillId="3" borderId="0" xfId="0" applyFont="1" applyFill="1" applyBorder="1" applyProtection="1">
      <protection locked="0"/>
    </xf>
    <xf numFmtId="0" fontId="10" fillId="3" borderId="64" xfId="0" applyFont="1" applyFill="1" applyBorder="1" applyProtection="1">
      <protection locked="0"/>
    </xf>
    <xf numFmtId="0" fontId="10" fillId="0" borderId="20" xfId="0" applyFont="1" applyBorder="1" applyProtection="1"/>
    <xf numFmtId="0" fontId="10" fillId="0" borderId="25" xfId="0" applyFont="1" applyBorder="1" applyAlignment="1" applyProtection="1">
      <alignment horizontal="center"/>
    </xf>
    <xf numFmtId="11" fontId="11" fillId="0" borderId="1" xfId="0" applyNumberFormat="1" applyFont="1" applyFill="1" applyBorder="1" applyAlignment="1" applyProtection="1">
      <alignment horizontal="center"/>
    </xf>
    <xf numFmtId="11" fontId="11" fillId="0" borderId="46" xfId="0" applyNumberFormat="1" applyFont="1" applyFill="1" applyBorder="1" applyAlignment="1" applyProtection="1">
      <alignment horizontal="center"/>
    </xf>
    <xf numFmtId="2" fontId="10" fillId="0" borderId="8" xfId="0" applyNumberFormat="1" applyFont="1" applyFill="1" applyBorder="1" applyAlignment="1" applyProtection="1">
      <alignment horizontal="center"/>
    </xf>
    <xf numFmtId="168" fontId="10" fillId="0" borderId="8" xfId="0" applyNumberFormat="1" applyFont="1" applyFill="1" applyBorder="1" applyAlignment="1" applyProtection="1">
      <alignment horizontal="center"/>
    </xf>
    <xf numFmtId="0" fontId="11" fillId="0" borderId="18" xfId="0" applyFont="1" applyBorder="1" applyAlignment="1" applyProtection="1">
      <alignment horizontal="left" vertical="center"/>
    </xf>
    <xf numFmtId="167" fontId="11" fillId="0" borderId="38" xfId="0" applyNumberFormat="1" applyFont="1" applyBorder="1" applyAlignment="1" applyProtection="1">
      <alignment horizontal="center" vertical="center"/>
    </xf>
    <xf numFmtId="167" fontId="11" fillId="0" borderId="39" xfId="0" applyNumberFormat="1" applyFont="1" applyBorder="1" applyAlignment="1" applyProtection="1">
      <alignment horizontal="center" vertical="center"/>
    </xf>
    <xf numFmtId="167" fontId="11" fillId="0" borderId="40" xfId="0" applyNumberFormat="1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left" vertical="center"/>
    </xf>
    <xf numFmtId="167" fontId="11" fillId="0" borderId="29" xfId="0" applyNumberFormat="1" applyFont="1" applyBorder="1" applyAlignment="1" applyProtection="1">
      <alignment horizontal="center" vertical="center"/>
    </xf>
    <xf numFmtId="0" fontId="11" fillId="0" borderId="19" xfId="0" applyFont="1" applyBorder="1" applyAlignment="1" applyProtection="1">
      <alignment horizontal="left" vertical="center"/>
    </xf>
    <xf numFmtId="167" fontId="11" fillId="0" borderId="10" xfId="0" applyNumberFormat="1" applyFont="1" applyFill="1" applyBorder="1" applyAlignment="1" applyProtection="1">
      <alignment horizontal="center" vertical="center"/>
    </xf>
    <xf numFmtId="167" fontId="11" fillId="0" borderId="24" xfId="0" applyNumberFormat="1" applyFont="1" applyFill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left" vertical="center"/>
    </xf>
    <xf numFmtId="168" fontId="11" fillId="0" borderId="25" xfId="0" applyNumberFormat="1" applyFont="1" applyBorder="1" applyAlignment="1" applyProtection="1">
      <alignment horizontal="center" vertical="center"/>
    </xf>
    <xf numFmtId="168" fontId="11" fillId="0" borderId="26" xfId="0" applyNumberFormat="1" applyFont="1" applyBorder="1" applyAlignment="1" applyProtection="1">
      <alignment horizontal="center" vertical="center"/>
    </xf>
    <xf numFmtId="168" fontId="11" fillId="0" borderId="27" xfId="0" applyNumberFormat="1" applyFont="1" applyBorder="1" applyAlignment="1" applyProtection="1">
      <alignment horizontal="center" vertical="center"/>
    </xf>
    <xf numFmtId="0" fontId="11" fillId="0" borderId="24" xfId="0" applyFont="1" applyBorder="1" applyProtection="1"/>
    <xf numFmtId="49" fontId="11" fillId="0" borderId="25" xfId="0" applyNumberFormat="1" applyFont="1" applyBorder="1" applyAlignment="1" applyProtection="1">
      <alignment horizontal="center"/>
    </xf>
    <xf numFmtId="49" fontId="11" fillId="0" borderId="26" xfId="0" applyNumberFormat="1" applyFont="1" applyBorder="1" applyAlignment="1" applyProtection="1">
      <alignment horizontal="center"/>
    </xf>
    <xf numFmtId="49" fontId="11" fillId="0" borderId="27" xfId="0" applyNumberFormat="1" applyFont="1" applyBorder="1" applyAlignment="1" applyProtection="1">
      <alignment horizontal="center"/>
    </xf>
    <xf numFmtId="49" fontId="11" fillId="3" borderId="25" xfId="0" applyNumberFormat="1" applyFont="1" applyFill="1" applyBorder="1" applyAlignment="1" applyProtection="1">
      <alignment horizontal="center"/>
      <protection locked="0"/>
    </xf>
    <xf numFmtId="49" fontId="11" fillId="3" borderId="26" xfId="0" applyNumberFormat="1" applyFont="1" applyFill="1" applyBorder="1" applyAlignment="1" applyProtection="1">
      <alignment horizontal="center"/>
      <protection locked="0"/>
    </xf>
    <xf numFmtId="49" fontId="11" fillId="3" borderId="27" xfId="0" applyNumberFormat="1" applyFont="1" applyFill="1" applyBorder="1" applyAlignment="1" applyProtection="1">
      <alignment horizontal="center"/>
      <protection locked="0"/>
    </xf>
    <xf numFmtId="0" fontId="11" fillId="0" borderId="28" xfId="0" applyFont="1" applyBorder="1" applyProtection="1"/>
    <xf numFmtId="49" fontId="11" fillId="0" borderId="28" xfId="0" applyNumberFormat="1" applyFont="1" applyBorder="1" applyAlignment="1" applyProtection="1">
      <alignment horizontal="center"/>
    </xf>
    <xf numFmtId="0" fontId="11" fillId="0" borderId="18" xfId="0" applyFont="1" applyBorder="1" applyProtection="1"/>
    <xf numFmtId="0" fontId="11" fillId="0" borderId="19" xfId="0" applyFont="1" applyBorder="1" applyProtection="1"/>
    <xf numFmtId="0" fontId="11" fillId="0" borderId="2" xfId="0" applyFont="1" applyBorder="1" applyAlignment="1" applyProtection="1">
      <alignment horizontal="center"/>
    </xf>
    <xf numFmtId="1" fontId="11" fillId="0" borderId="1" xfId="0" applyNumberFormat="1" applyFont="1" applyFill="1" applyBorder="1" applyAlignment="1" applyProtection="1">
      <alignment horizontal="center"/>
    </xf>
    <xf numFmtId="1" fontId="11" fillId="0" borderId="46" xfId="0" applyNumberFormat="1" applyFont="1" applyFill="1" applyBorder="1" applyAlignment="1" applyProtection="1">
      <alignment horizontal="center"/>
    </xf>
    <xf numFmtId="168" fontId="12" fillId="0" borderId="0" xfId="1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/>
    </xf>
    <xf numFmtId="0" fontId="11" fillId="0" borderId="6" xfId="0" applyFont="1" applyBorder="1" applyAlignment="1" applyProtection="1">
      <alignment horizontal="center"/>
    </xf>
    <xf numFmtId="1" fontId="11" fillId="2" borderId="46" xfId="0" applyNumberFormat="1" applyFont="1" applyFill="1" applyBorder="1" applyAlignment="1" applyProtection="1">
      <alignment horizontal="center"/>
      <protection locked="0"/>
    </xf>
    <xf numFmtId="0" fontId="10" fillId="0" borderId="5" xfId="0" applyFont="1" applyBorder="1" applyProtection="1"/>
    <xf numFmtId="169" fontId="10" fillId="2" borderId="14" xfId="0" applyNumberFormat="1" applyFont="1" applyFill="1" applyBorder="1" applyAlignment="1" applyProtection="1">
      <alignment horizontal="center"/>
      <protection locked="0"/>
    </xf>
    <xf numFmtId="0" fontId="10" fillId="0" borderId="7" xfId="0" applyFont="1" applyBorder="1" applyProtection="1"/>
    <xf numFmtId="0" fontId="10" fillId="0" borderId="44" xfId="0" applyFont="1" applyBorder="1" applyProtection="1"/>
    <xf numFmtId="168" fontId="10" fillId="2" borderId="25" xfId="0" applyNumberFormat="1" applyFont="1" applyFill="1" applyBorder="1" applyAlignment="1" applyProtection="1">
      <alignment horizontal="center"/>
      <protection locked="0"/>
    </xf>
    <xf numFmtId="168" fontId="10" fillId="2" borderId="26" xfId="0" applyNumberFormat="1" applyFont="1" applyFill="1" applyBorder="1" applyAlignment="1" applyProtection="1">
      <alignment horizontal="center"/>
      <protection locked="0"/>
    </xf>
    <xf numFmtId="168" fontId="10" fillId="2" borderId="27" xfId="0" applyNumberFormat="1" applyFont="1" applyFill="1" applyBorder="1" applyAlignment="1" applyProtection="1">
      <alignment horizontal="center"/>
      <protection locked="0"/>
    </xf>
    <xf numFmtId="167" fontId="15" fillId="0" borderId="38" xfId="0" applyNumberFormat="1" applyFont="1" applyBorder="1" applyAlignment="1" applyProtection="1">
      <alignment horizontal="center" vertical="center"/>
    </xf>
    <xf numFmtId="167" fontId="15" fillId="0" borderId="39" xfId="0" applyNumberFormat="1" applyFont="1" applyBorder="1" applyAlignment="1" applyProtection="1">
      <alignment horizontal="center" vertical="center"/>
    </xf>
    <xf numFmtId="167" fontId="15" fillId="0" borderId="40" xfId="0" applyNumberFormat="1" applyFont="1" applyBorder="1" applyAlignment="1" applyProtection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/>
    </xf>
    <xf numFmtId="49" fontId="11" fillId="0" borderId="30" xfId="0" applyNumberFormat="1" applyFont="1" applyBorder="1" applyAlignment="1" applyProtection="1">
      <alignment horizontal="center" vertical="center"/>
    </xf>
    <xf numFmtId="49" fontId="11" fillId="3" borderId="25" xfId="0" applyNumberFormat="1" applyFont="1" applyFill="1" applyBorder="1" applyAlignment="1" applyProtection="1">
      <alignment horizontal="center" vertical="center"/>
      <protection locked="0"/>
    </xf>
    <xf numFmtId="49" fontId="11" fillId="3" borderId="26" xfId="0" applyNumberFormat="1" applyFont="1" applyFill="1" applyBorder="1" applyAlignment="1" applyProtection="1">
      <alignment horizontal="center" vertical="center"/>
      <protection locked="0"/>
    </xf>
    <xf numFmtId="49" fontId="11" fillId="3" borderId="27" xfId="0" applyNumberFormat="1" applyFont="1" applyFill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</xf>
    <xf numFmtId="0" fontId="11" fillId="0" borderId="28" xfId="0" applyFont="1" applyFill="1" applyBorder="1" applyProtection="1"/>
    <xf numFmtId="0" fontId="10" fillId="3" borderId="23" xfId="0" applyFont="1" applyFill="1" applyBorder="1" applyProtection="1">
      <protection locked="0"/>
    </xf>
    <xf numFmtId="0" fontId="10" fillId="0" borderId="0" xfId="0" applyFont="1" applyAlignment="1" applyProtection="1">
      <alignment horizontal="left"/>
    </xf>
    <xf numFmtId="171" fontId="11" fillId="0" borderId="1" xfId="0" applyNumberFormat="1" applyFont="1" applyFill="1" applyBorder="1" applyAlignment="1" applyProtection="1">
      <alignment horizontal="center"/>
    </xf>
    <xf numFmtId="171" fontId="11" fillId="0" borderId="46" xfId="0" applyNumberFormat="1" applyFont="1" applyFill="1" applyBorder="1" applyAlignment="1" applyProtection="1">
      <alignment horizontal="center"/>
    </xf>
    <xf numFmtId="168" fontId="12" fillId="0" borderId="45" xfId="1" applyNumberFormat="1" applyFont="1" applyFill="1" applyBorder="1" applyAlignment="1" applyProtection="1">
      <alignment horizontal="center"/>
    </xf>
    <xf numFmtId="168" fontId="12" fillId="0" borderId="8" xfId="1" applyNumberFormat="1" applyFont="1" applyFill="1" applyBorder="1" applyAlignment="1" applyProtection="1">
      <alignment horizontal="center"/>
    </xf>
    <xf numFmtId="0" fontId="10" fillId="0" borderId="15" xfId="0" applyFont="1" applyBorder="1" applyAlignment="1" applyProtection="1">
      <alignment horizontal="center"/>
    </xf>
    <xf numFmtId="0" fontId="10" fillId="0" borderId="16" xfId="0" applyFont="1" applyBorder="1" applyAlignment="1" applyProtection="1">
      <alignment horizontal="center"/>
    </xf>
    <xf numFmtId="0" fontId="10" fillId="0" borderId="17" xfId="0" applyFont="1" applyBorder="1" applyAlignment="1" applyProtection="1">
      <alignment horizontal="center"/>
    </xf>
    <xf numFmtId="167" fontId="11" fillId="0" borderId="25" xfId="0" applyNumberFormat="1" applyFont="1" applyBorder="1" applyAlignment="1" applyProtection="1">
      <alignment horizontal="center" vertical="center"/>
    </xf>
    <xf numFmtId="167" fontId="11" fillId="0" borderId="26" xfId="0" applyNumberFormat="1" applyFont="1" applyBorder="1" applyAlignment="1" applyProtection="1">
      <alignment horizontal="center" vertical="center"/>
    </xf>
    <xf numFmtId="167" fontId="11" fillId="0" borderId="27" xfId="0" applyNumberFormat="1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left" vertical="center"/>
    </xf>
    <xf numFmtId="167" fontId="11" fillId="0" borderId="0" xfId="0" applyNumberFormat="1" applyFont="1" applyBorder="1" applyAlignment="1" applyProtection="1">
      <alignment horizontal="center" vertical="center"/>
    </xf>
    <xf numFmtId="167" fontId="11" fillId="0" borderId="25" xfId="0" applyNumberFormat="1" applyFont="1" applyFill="1" applyBorder="1" applyAlignment="1" applyProtection="1">
      <alignment horizontal="center" vertical="center"/>
    </xf>
    <xf numFmtId="168" fontId="11" fillId="0" borderId="24" xfId="0" applyNumberFormat="1" applyFont="1" applyBorder="1" applyAlignment="1" applyProtection="1">
      <alignment horizontal="center" vertical="center"/>
    </xf>
    <xf numFmtId="170" fontId="10" fillId="0" borderId="15" xfId="0" applyNumberFormat="1" applyFont="1" applyFill="1" applyBorder="1" applyAlignment="1" applyProtection="1">
      <alignment horizontal="center"/>
    </xf>
    <xf numFmtId="170" fontId="10" fillId="0" borderId="16" xfId="0" applyNumberFormat="1" applyFont="1" applyFill="1" applyBorder="1" applyAlignment="1" applyProtection="1">
      <alignment horizontal="center"/>
    </xf>
    <xf numFmtId="170" fontId="10" fillId="0" borderId="17" xfId="0" applyNumberFormat="1" applyFont="1" applyFill="1" applyBorder="1" applyAlignment="1" applyProtection="1">
      <alignment horizontal="center"/>
    </xf>
    <xf numFmtId="170" fontId="10" fillId="0" borderId="15" xfId="0" applyNumberFormat="1" applyFont="1" applyBorder="1" applyAlignment="1" applyProtection="1">
      <alignment horizontal="center"/>
    </xf>
    <xf numFmtId="170" fontId="10" fillId="0" borderId="16" xfId="0" applyNumberFormat="1" applyFont="1" applyBorder="1" applyAlignment="1" applyProtection="1">
      <alignment horizontal="center"/>
    </xf>
    <xf numFmtId="170" fontId="10" fillId="0" borderId="17" xfId="0" applyNumberFormat="1" applyFont="1" applyBorder="1" applyAlignment="1" applyProtection="1">
      <alignment horizontal="center"/>
    </xf>
    <xf numFmtId="168" fontId="10" fillId="2" borderId="24" xfId="1" applyNumberFormat="1" applyFont="1" applyFill="1" applyBorder="1" applyAlignment="1" applyProtection="1">
      <alignment horizontal="center"/>
      <protection locked="0"/>
    </xf>
    <xf numFmtId="168" fontId="10" fillId="0" borderId="41" xfId="0" applyNumberFormat="1" applyFont="1" applyFill="1" applyBorder="1" applyAlignment="1" applyProtection="1">
      <alignment horizontal="center"/>
    </xf>
    <xf numFmtId="168" fontId="10" fillId="0" borderId="42" xfId="0" applyNumberFormat="1" applyFont="1" applyBorder="1" applyAlignment="1" applyProtection="1">
      <alignment horizontal="center"/>
    </xf>
    <xf numFmtId="170" fontId="10" fillId="0" borderId="45" xfId="0" applyNumberFormat="1" applyFont="1" applyBorder="1" applyAlignment="1" applyProtection="1">
      <alignment horizontal="center"/>
    </xf>
    <xf numFmtId="170" fontId="10" fillId="0" borderId="98" xfId="0" applyNumberFormat="1" applyFont="1" applyBorder="1" applyAlignment="1" applyProtection="1">
      <alignment horizontal="center"/>
    </xf>
    <xf numFmtId="170" fontId="10" fillId="0" borderId="99" xfId="0" applyNumberFormat="1" applyFont="1" applyBorder="1" applyAlignment="1" applyProtection="1">
      <alignment horizontal="center"/>
    </xf>
    <xf numFmtId="168" fontId="10" fillId="0" borderId="13" xfId="0" applyNumberFormat="1" applyFont="1" applyFill="1" applyBorder="1" applyAlignment="1" applyProtection="1">
      <alignment horizontal="center"/>
    </xf>
    <xf numFmtId="168" fontId="10" fillId="0" borderId="9" xfId="0" applyNumberFormat="1" applyFont="1" applyBorder="1" applyAlignment="1" applyProtection="1">
      <alignment horizontal="center"/>
    </xf>
    <xf numFmtId="168" fontId="10" fillId="0" borderId="14" xfId="0" applyNumberFormat="1" applyFont="1" applyBorder="1" applyAlignment="1" applyProtection="1">
      <alignment horizontal="center"/>
    </xf>
    <xf numFmtId="168" fontId="10" fillId="0" borderId="43" xfId="0" applyNumberFormat="1" applyFont="1" applyBorder="1" applyAlignment="1" applyProtection="1">
      <alignment horizontal="center"/>
    </xf>
    <xf numFmtId="168" fontId="22" fillId="4" borderId="96" xfId="0" applyNumberFormat="1" applyFont="1" applyFill="1" applyBorder="1" applyAlignment="1" applyProtection="1">
      <protection locked="0"/>
    </xf>
    <xf numFmtId="0" fontId="21" fillId="0" borderId="0" xfId="0" applyFont="1" applyAlignment="1" applyProtection="1">
      <alignment horizontal="left"/>
    </xf>
    <xf numFmtId="0" fontId="22" fillId="0" borderId="0" xfId="0" applyFont="1" applyAlignment="1" applyProtection="1">
      <alignment horizontal="left"/>
    </xf>
    <xf numFmtId="0" fontId="22" fillId="0" borderId="0" xfId="0" applyFont="1" applyProtection="1"/>
    <xf numFmtId="0" fontId="23" fillId="0" borderId="0" xfId="0" applyFont="1" applyAlignment="1" applyProtection="1">
      <alignment horizontal="left"/>
    </xf>
    <xf numFmtId="168" fontId="22" fillId="7" borderId="0" xfId="0" applyNumberFormat="1" applyFont="1" applyFill="1" applyBorder="1" applyAlignment="1" applyProtection="1"/>
    <xf numFmtId="0" fontId="24" fillId="0" borderId="0" xfId="0" applyFont="1" applyAlignment="1" applyProtection="1">
      <alignment horizontal="left"/>
    </xf>
    <xf numFmtId="0" fontId="25" fillId="0" borderId="0" xfId="0" applyFont="1" applyAlignment="1" applyProtection="1">
      <alignment horizontal="left"/>
    </xf>
    <xf numFmtId="0" fontId="23" fillId="0" borderId="44" xfId="0" applyFont="1" applyBorder="1" applyAlignment="1" applyProtection="1">
      <alignment horizontal="left" vertical="center"/>
    </xf>
    <xf numFmtId="0" fontId="27" fillId="0" borderId="38" xfId="0" applyFont="1" applyBorder="1" applyAlignment="1" applyProtection="1">
      <alignment horizontal="center" vertical="center"/>
    </xf>
    <xf numFmtId="0" fontId="27" fillId="0" borderId="75" xfId="0" applyFont="1" applyBorder="1" applyAlignment="1" applyProtection="1">
      <alignment horizontal="center" vertical="center"/>
    </xf>
    <xf numFmtId="0" fontId="27" fillId="0" borderId="10" xfId="0" applyFont="1" applyBorder="1" applyAlignment="1" applyProtection="1">
      <alignment horizontal="center" vertical="center"/>
    </xf>
    <xf numFmtId="0" fontId="22" fillId="6" borderId="25" xfId="0" applyFont="1" applyFill="1" applyBorder="1" applyAlignment="1" applyProtection="1">
      <alignment horizontal="left"/>
    </xf>
    <xf numFmtId="0" fontId="26" fillId="0" borderId="38" xfId="0" applyFont="1" applyBorder="1" applyAlignment="1" applyProtection="1">
      <alignment horizontal="left"/>
    </xf>
    <xf numFmtId="0" fontId="26" fillId="0" borderId="75" xfId="0" applyFont="1" applyBorder="1" applyAlignment="1" applyProtection="1">
      <alignment horizontal="left"/>
    </xf>
    <xf numFmtId="0" fontId="26" fillId="0" borderId="25" xfId="0" applyFont="1" applyBorder="1" applyAlignment="1" applyProtection="1">
      <alignment horizontal="left"/>
    </xf>
    <xf numFmtId="0" fontId="26" fillId="0" borderId="5" xfId="0" applyFont="1" applyBorder="1" applyAlignment="1" applyProtection="1">
      <alignment horizontal="left"/>
    </xf>
    <xf numFmtId="0" fontId="26" fillId="0" borderId="7" xfId="0" applyFont="1" applyBorder="1" applyAlignment="1" applyProtection="1">
      <alignment horizontal="left"/>
    </xf>
    <xf numFmtId="0" fontId="26" fillId="0" borderId="6" xfId="0" applyFont="1" applyBorder="1" applyAlignment="1" applyProtection="1">
      <alignment horizontal="left"/>
    </xf>
    <xf numFmtId="168" fontId="26" fillId="0" borderId="5" xfId="0" applyNumberFormat="1" applyFont="1" applyBorder="1" applyAlignment="1" applyProtection="1">
      <alignment horizontal="left"/>
    </xf>
    <xf numFmtId="2" fontId="26" fillId="0" borderId="7" xfId="0" applyNumberFormat="1" applyFont="1" applyBorder="1" applyAlignment="1" applyProtection="1">
      <alignment horizontal="left"/>
    </xf>
    <xf numFmtId="168" fontId="26" fillId="0" borderId="7" xfId="0" applyNumberFormat="1" applyFont="1" applyBorder="1" applyAlignment="1" applyProtection="1">
      <alignment horizontal="left"/>
    </xf>
    <xf numFmtId="168" fontId="22" fillId="0" borderId="6" xfId="0" applyNumberFormat="1" applyFont="1" applyBorder="1" applyAlignment="1" applyProtection="1">
      <alignment horizontal="left"/>
    </xf>
    <xf numFmtId="0" fontId="31" fillId="0" borderId="0" xfId="0" applyFont="1" applyAlignment="1" applyProtection="1">
      <alignment horizontal="left"/>
    </xf>
    <xf numFmtId="0" fontId="27" fillId="0" borderId="0" xfId="0" applyFont="1" applyAlignment="1" applyProtection="1">
      <alignment horizontal="left"/>
    </xf>
    <xf numFmtId="168" fontId="26" fillId="0" borderId="0" xfId="0" applyNumberFormat="1" applyFont="1" applyAlignment="1" applyProtection="1">
      <alignment horizontal="left" vertical="center"/>
    </xf>
    <xf numFmtId="168" fontId="10" fillId="7" borderId="8" xfId="2" applyNumberFormat="1" applyFont="1" applyFill="1" applyBorder="1" applyAlignment="1" applyProtection="1">
      <alignment horizontal="center"/>
    </xf>
    <xf numFmtId="2" fontId="10" fillId="3" borderId="3" xfId="0" applyNumberFormat="1" applyFont="1" applyFill="1" applyBorder="1" applyAlignment="1" applyProtection="1">
      <alignment horizontal="center"/>
      <protection locked="0"/>
    </xf>
    <xf numFmtId="2" fontId="10" fillId="3" borderId="4" xfId="0" applyNumberFormat="1" applyFont="1" applyFill="1" applyBorder="1" applyAlignment="1" applyProtection="1">
      <alignment horizontal="center"/>
      <protection locked="0"/>
    </xf>
    <xf numFmtId="2" fontId="10" fillId="7" borderId="8" xfId="2" applyNumberFormat="1" applyFont="1" applyFill="1" applyBorder="1" applyAlignment="1" applyProtection="1">
      <alignment horizontal="center"/>
    </xf>
    <xf numFmtId="0" fontId="26" fillId="0" borderId="38" xfId="0" applyFont="1" applyBorder="1" applyAlignment="1" applyProtection="1">
      <alignment horizontal="left" vertical="center"/>
    </xf>
    <xf numFmtId="0" fontId="26" fillId="0" borderId="10" xfId="0" applyFont="1" applyBorder="1" applyAlignment="1" applyProtection="1">
      <alignment horizontal="left" vertical="center"/>
    </xf>
    <xf numFmtId="168" fontId="22" fillId="4" borderId="65" xfId="0" applyNumberFormat="1" applyFont="1" applyFill="1" applyBorder="1" applyAlignment="1" applyProtection="1">
      <alignment horizontal="left"/>
      <protection locked="0"/>
    </xf>
    <xf numFmtId="168" fontId="22" fillId="4" borderId="97" xfId="0" applyNumberFormat="1" applyFont="1" applyFill="1" applyBorder="1" applyAlignment="1" applyProtection="1">
      <alignment horizontal="left"/>
      <protection locked="0"/>
    </xf>
    <xf numFmtId="168" fontId="22" fillId="4" borderId="67" xfId="0" applyNumberFormat="1" applyFont="1" applyFill="1" applyBorder="1" applyAlignment="1" applyProtection="1">
      <alignment horizontal="left"/>
      <protection locked="0"/>
    </xf>
    <xf numFmtId="168" fontId="22" fillId="4" borderId="94" xfId="0" applyNumberFormat="1" applyFont="1" applyFill="1" applyBorder="1" applyAlignment="1" applyProtection="1">
      <alignment horizontal="left"/>
      <protection locked="0"/>
    </xf>
    <xf numFmtId="168" fontId="22" fillId="4" borderId="50" xfId="0" applyNumberFormat="1" applyFont="1" applyFill="1" applyBorder="1" applyAlignment="1" applyProtection="1">
      <alignment horizontal="left"/>
      <protection locked="0"/>
    </xf>
    <xf numFmtId="168" fontId="22" fillId="4" borderId="95" xfId="0" applyNumberFormat="1" applyFont="1" applyFill="1" applyBorder="1" applyAlignment="1" applyProtection="1">
      <alignment horizontal="left"/>
      <protection locked="0"/>
    </xf>
    <xf numFmtId="0" fontId="24" fillId="4" borderId="65" xfId="0" applyFont="1" applyFill="1" applyBorder="1" applyAlignment="1" applyProtection="1">
      <alignment horizontal="left"/>
    </xf>
    <xf numFmtId="0" fontId="25" fillId="4" borderId="66" xfId="0" applyFont="1" applyFill="1" applyBorder="1" applyAlignment="1" applyProtection="1">
      <alignment horizontal="left"/>
    </xf>
    <xf numFmtId="0" fontId="25" fillId="4" borderId="67" xfId="0" applyFont="1" applyFill="1" applyBorder="1" applyAlignment="1" applyProtection="1">
      <alignment horizontal="left"/>
    </xf>
    <xf numFmtId="2" fontId="27" fillId="5" borderId="87" xfId="0" applyNumberFormat="1" applyFont="1" applyFill="1" applyBorder="1" applyAlignment="1" applyProtection="1">
      <alignment horizontal="left"/>
    </xf>
    <xf numFmtId="2" fontId="27" fillId="5" borderId="88" xfId="0" applyNumberFormat="1" applyFont="1" applyFill="1" applyBorder="1" applyAlignment="1" applyProtection="1">
      <alignment horizontal="left"/>
    </xf>
    <xf numFmtId="2" fontId="27" fillId="5" borderId="90" xfId="0" applyNumberFormat="1" applyFont="1" applyFill="1" applyBorder="1" applyAlignment="1" applyProtection="1">
      <alignment horizontal="left"/>
    </xf>
    <xf numFmtId="2" fontId="27" fillId="5" borderId="79" xfId="0" applyNumberFormat="1" applyFont="1" applyFill="1" applyBorder="1" applyAlignment="1" applyProtection="1">
      <alignment horizontal="left"/>
    </xf>
    <xf numFmtId="2" fontId="27" fillId="5" borderId="92" xfId="0" applyNumberFormat="1" applyFont="1" applyFill="1" applyBorder="1" applyAlignment="1" applyProtection="1">
      <alignment horizontal="left"/>
    </xf>
    <xf numFmtId="2" fontId="27" fillId="5" borderId="82" xfId="0" applyNumberFormat="1" applyFont="1" applyFill="1" applyBorder="1" applyAlignment="1" applyProtection="1">
      <alignment horizontal="left"/>
    </xf>
    <xf numFmtId="168" fontId="27" fillId="4" borderId="73" xfId="0" applyNumberFormat="1" applyFont="1" applyFill="1" applyBorder="1" applyAlignment="1" applyProtection="1">
      <alignment horizontal="center" vertical="center"/>
      <protection locked="0"/>
    </xf>
    <xf numFmtId="2" fontId="27" fillId="4" borderId="73" xfId="0" applyNumberFormat="1" applyFont="1" applyFill="1" applyBorder="1" applyAlignment="1" applyProtection="1">
      <alignment horizontal="center" vertical="center"/>
      <protection locked="0"/>
    </xf>
    <xf numFmtId="168" fontId="27" fillId="4" borderId="74" xfId="0" applyNumberFormat="1" applyFont="1" applyFill="1" applyBorder="1" applyAlignment="1" applyProtection="1">
      <alignment horizontal="center" vertical="center"/>
      <protection locked="0"/>
    </xf>
    <xf numFmtId="168" fontId="27" fillId="4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6" xfId="0" applyNumberFormat="1" applyFont="1" applyFill="1" applyBorder="1" applyAlignment="1" applyProtection="1">
      <alignment horizontal="center" vertical="center"/>
      <protection locked="0"/>
    </xf>
    <xf numFmtId="168" fontId="27" fillId="4" borderId="77" xfId="0" applyNumberFormat="1" applyFont="1" applyFill="1" applyBorder="1" applyAlignment="1" applyProtection="1">
      <alignment horizontal="center" vertical="center"/>
      <protection locked="0"/>
    </xf>
    <xf numFmtId="2" fontId="27" fillId="5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8" xfId="0" applyNumberFormat="1" applyFont="1" applyFill="1" applyBorder="1" applyAlignment="1" applyProtection="1">
      <alignment horizontal="center" vertical="center"/>
      <protection locked="0"/>
    </xf>
    <xf numFmtId="168" fontId="27" fillId="4" borderId="79" xfId="0" applyNumberFormat="1" applyFont="1" applyFill="1" applyBorder="1" applyAlignment="1" applyProtection="1">
      <alignment horizontal="center" vertical="center"/>
      <protection locked="0"/>
    </xf>
    <xf numFmtId="168" fontId="27" fillId="4" borderId="80" xfId="0" applyNumberFormat="1" applyFont="1" applyFill="1" applyBorder="1" applyAlignment="1" applyProtection="1">
      <alignment horizontal="center" vertical="center"/>
      <protection locked="0"/>
    </xf>
    <xf numFmtId="2" fontId="27" fillId="4" borderId="81" xfId="0" applyNumberFormat="1" applyFont="1" applyFill="1" applyBorder="1" applyAlignment="1" applyProtection="1">
      <alignment horizontal="center" vertical="center"/>
      <protection locked="0"/>
    </xf>
    <xf numFmtId="168" fontId="27" fillId="4" borderId="82" xfId="0" applyNumberFormat="1" applyFont="1" applyFill="1" applyBorder="1" applyAlignment="1" applyProtection="1">
      <alignment horizontal="center" vertical="center"/>
      <protection locked="0"/>
    </xf>
    <xf numFmtId="0" fontId="26" fillId="0" borderId="70" xfId="0" applyFont="1" applyBorder="1" applyAlignment="1" applyProtection="1">
      <alignment horizontal="center"/>
    </xf>
    <xf numFmtId="0" fontId="26" fillId="0" borderId="52" xfId="0" applyFont="1" applyBorder="1" applyAlignment="1" applyProtection="1">
      <alignment horizontal="center"/>
    </xf>
    <xf numFmtId="0" fontId="26" fillId="0" borderId="71" xfId="0" applyFont="1" applyBorder="1" applyAlignment="1" applyProtection="1">
      <alignment horizontal="center"/>
    </xf>
    <xf numFmtId="0" fontId="26" fillId="0" borderId="11" xfId="0" applyFont="1" applyBorder="1" applyAlignment="1" applyProtection="1">
      <alignment horizontal="center"/>
    </xf>
    <xf numFmtId="0" fontId="26" fillId="0" borderId="72" xfId="0" applyFont="1" applyBorder="1" applyAlignment="1" applyProtection="1">
      <alignment horizontal="center"/>
    </xf>
    <xf numFmtId="0" fontId="22" fillId="6" borderId="69" xfId="0" applyFont="1" applyFill="1" applyBorder="1" applyAlignment="1" applyProtection="1">
      <alignment horizontal="center"/>
    </xf>
    <xf numFmtId="0" fontId="22" fillId="6" borderId="26" xfId="0" applyFont="1" applyFill="1" applyBorder="1" applyAlignment="1" applyProtection="1">
      <alignment horizontal="center"/>
    </xf>
    <xf numFmtId="0" fontId="22" fillId="6" borderId="30" xfId="0" applyFont="1" applyFill="1" applyBorder="1" applyAlignment="1" applyProtection="1">
      <alignment horizontal="center"/>
    </xf>
    <xf numFmtId="170" fontId="27" fillId="0" borderId="70" xfId="0" applyNumberFormat="1" applyFont="1" applyBorder="1" applyAlignment="1" applyProtection="1">
      <alignment horizontal="center"/>
    </xf>
    <xf numFmtId="170" fontId="27" fillId="0" borderId="52" xfId="0" applyNumberFormat="1" applyFont="1" applyBorder="1" applyAlignment="1" applyProtection="1">
      <alignment horizontal="center"/>
    </xf>
    <xf numFmtId="170" fontId="27" fillId="0" borderId="84" xfId="0" applyNumberFormat="1" applyFont="1" applyBorder="1" applyAlignment="1" applyProtection="1">
      <alignment horizontal="center"/>
    </xf>
    <xf numFmtId="170" fontId="27" fillId="0" borderId="64" xfId="0" applyNumberFormat="1" applyFont="1" applyBorder="1" applyAlignment="1" applyProtection="1">
      <alignment horizontal="center"/>
    </xf>
    <xf numFmtId="172" fontId="27" fillId="0" borderId="84" xfId="0" applyNumberFormat="1" applyFont="1" applyBorder="1" applyAlignment="1" applyProtection="1">
      <alignment horizontal="center"/>
    </xf>
    <xf numFmtId="172" fontId="27" fillId="0" borderId="64" xfId="0" applyNumberFormat="1" applyFont="1" applyBorder="1" applyAlignment="1" applyProtection="1">
      <alignment horizontal="center"/>
    </xf>
    <xf numFmtId="0" fontId="27" fillId="0" borderId="29" xfId="0" applyFont="1" applyBorder="1" applyAlignment="1" applyProtection="1">
      <alignment horizontal="center"/>
    </xf>
    <xf numFmtId="0" fontId="27" fillId="0" borderId="29" xfId="0" quotePrefix="1" applyFont="1" applyBorder="1" applyAlignment="1" applyProtection="1">
      <alignment horizontal="center"/>
    </xf>
    <xf numFmtId="166" fontId="27" fillId="0" borderId="29" xfId="0" applyNumberFormat="1" applyFont="1" applyBorder="1" applyAlignment="1" applyProtection="1">
      <alignment horizontal="center"/>
    </xf>
    <xf numFmtId="0" fontId="27" fillId="0" borderId="30" xfId="0" applyFont="1" applyBorder="1" applyAlignment="1" applyProtection="1">
      <alignment horizontal="center"/>
    </xf>
    <xf numFmtId="170" fontId="27" fillId="0" borderId="29" xfId="0" applyNumberFormat="1" applyFont="1" applyBorder="1" applyAlignment="1" applyProtection="1">
      <alignment horizontal="center"/>
    </xf>
    <xf numFmtId="0" fontId="26" fillId="0" borderId="39" xfId="0" applyFont="1" applyBorder="1" applyAlignment="1" applyProtection="1">
      <alignment horizontal="center"/>
    </xf>
    <xf numFmtId="0" fontId="26" fillId="0" borderId="40" xfId="0" applyFont="1" applyBorder="1" applyAlignment="1" applyProtection="1">
      <alignment horizontal="center"/>
    </xf>
    <xf numFmtId="0" fontId="26" fillId="0" borderId="83" xfId="0" applyFont="1" applyBorder="1" applyAlignment="1" applyProtection="1">
      <alignment horizontal="center"/>
    </xf>
    <xf numFmtId="0" fontId="26" fillId="0" borderId="85" xfId="0" applyFont="1" applyBorder="1" applyAlignment="1" applyProtection="1">
      <alignment horizontal="center"/>
    </xf>
    <xf numFmtId="0" fontId="26" fillId="0" borderId="12" xfId="0" applyFont="1" applyBorder="1" applyAlignment="1" applyProtection="1">
      <alignment horizontal="center"/>
    </xf>
    <xf numFmtId="168" fontId="29" fillId="0" borderId="39" xfId="1" applyNumberFormat="1" applyFont="1" applyBorder="1" applyAlignment="1" applyProtection="1">
      <alignment horizontal="center"/>
    </xf>
    <xf numFmtId="168" fontId="27" fillId="0" borderId="39" xfId="0" applyNumberFormat="1" applyFont="1" applyBorder="1" applyAlignment="1" applyProtection="1">
      <alignment horizontal="center"/>
    </xf>
    <xf numFmtId="168" fontId="27" fillId="0" borderId="39" xfId="4" applyNumberFormat="1" applyFont="1" applyBorder="1" applyAlignment="1" applyProtection="1">
      <alignment horizontal="center"/>
    </xf>
    <xf numFmtId="168" fontId="27" fillId="0" borderId="40" xfId="0" applyNumberFormat="1" applyFont="1" applyBorder="1" applyAlignment="1" applyProtection="1">
      <alignment horizontal="center"/>
    </xf>
    <xf numFmtId="2" fontId="29" fillId="0" borderId="83" xfId="1" applyNumberFormat="1" applyFont="1" applyBorder="1" applyAlignment="1" applyProtection="1">
      <alignment horizontal="center"/>
    </xf>
    <xf numFmtId="2" fontId="27" fillId="0" borderId="83" xfId="0" applyNumberFormat="1" applyFont="1" applyBorder="1" applyAlignment="1" applyProtection="1">
      <alignment horizontal="center"/>
    </xf>
    <xf numFmtId="2" fontId="29" fillId="0" borderId="83" xfId="0" applyNumberFormat="1" applyFont="1" applyBorder="1" applyAlignment="1" applyProtection="1">
      <alignment horizontal="center"/>
    </xf>
    <xf numFmtId="2" fontId="27" fillId="0" borderId="85" xfId="0" applyNumberFormat="1" applyFont="1" applyBorder="1" applyAlignment="1" applyProtection="1">
      <alignment horizontal="center"/>
    </xf>
    <xf numFmtId="168" fontId="29" fillId="0" borderId="83" xfId="1" applyNumberFormat="1" applyFont="1" applyBorder="1" applyAlignment="1" applyProtection="1">
      <alignment horizontal="center"/>
    </xf>
    <xf numFmtId="168" fontId="27" fillId="0" borderId="83" xfId="0" applyNumberFormat="1" applyFont="1" applyBorder="1" applyAlignment="1" applyProtection="1">
      <alignment horizontal="center"/>
    </xf>
    <xf numFmtId="168" fontId="27" fillId="0" borderId="85" xfId="0" applyNumberFormat="1" applyFont="1" applyBorder="1" applyAlignment="1" applyProtection="1">
      <alignment horizontal="center"/>
    </xf>
    <xf numFmtId="168" fontId="22" fillId="0" borderId="11" xfId="0" applyNumberFormat="1" applyFont="1" applyBorder="1" applyAlignment="1" applyProtection="1">
      <alignment horizontal="center"/>
    </xf>
    <xf numFmtId="168" fontId="22" fillId="0" borderId="12" xfId="0" applyNumberFormat="1" applyFont="1" applyBorder="1" applyAlignment="1" applyProtection="1">
      <alignment horizontal="center"/>
    </xf>
    <xf numFmtId="1" fontId="27" fillId="0" borderId="83" xfId="0" applyNumberFormat="1" applyFont="1" applyBorder="1" applyAlignment="1" applyProtection="1">
      <alignment horizontal="center"/>
    </xf>
    <xf numFmtId="1" fontId="27" fillId="0" borderId="84" xfId="0" applyNumberFormat="1" applyFont="1" applyBorder="1" applyAlignment="1" applyProtection="1">
      <alignment horizontal="center"/>
    </xf>
    <xf numFmtId="1" fontId="27" fillId="0" borderId="64" xfId="0" applyNumberFormat="1" applyFont="1" applyBorder="1" applyAlignment="1" applyProtection="1">
      <alignment horizontal="center"/>
    </xf>
    <xf numFmtId="2" fontId="27" fillId="5" borderId="86" xfId="0" applyNumberFormat="1" applyFont="1" applyFill="1" applyBorder="1" applyAlignment="1" applyProtection="1">
      <alignment horizontal="left"/>
      <protection locked="0"/>
    </xf>
    <xf numFmtId="2" fontId="27" fillId="5" borderId="89" xfId="0" applyNumberFormat="1" applyFont="1" applyFill="1" applyBorder="1" applyAlignment="1" applyProtection="1">
      <alignment horizontal="left"/>
      <protection locked="0"/>
    </xf>
    <xf numFmtId="2" fontId="27" fillId="5" borderId="91" xfId="0" applyNumberFormat="1" applyFont="1" applyFill="1" applyBorder="1" applyAlignment="1" applyProtection="1">
      <alignment horizontal="left"/>
      <protection locked="0"/>
    </xf>
    <xf numFmtId="2" fontId="12" fillId="0" borderId="8" xfId="1" applyNumberFormat="1" applyFont="1" applyFill="1" applyBorder="1" applyAlignment="1" applyProtection="1">
      <alignment horizontal="center"/>
    </xf>
    <xf numFmtId="168" fontId="10" fillId="3" borderId="8" xfId="0" applyNumberFormat="1" applyFont="1" applyFill="1" applyBorder="1" applyAlignment="1" applyProtection="1">
      <alignment horizontal="center"/>
      <protection locked="0"/>
    </xf>
    <xf numFmtId="168" fontId="23" fillId="0" borderId="5" xfId="0" applyNumberFormat="1" applyFont="1" applyBorder="1" applyAlignment="1" applyProtection="1">
      <alignment horizontal="left" vertical="center"/>
    </xf>
    <xf numFmtId="168" fontId="23" fillId="0" borderId="28" xfId="0" applyNumberFormat="1" applyFont="1" applyBorder="1" applyAlignment="1" applyProtection="1">
      <alignment horizontal="left" vertical="center"/>
    </xf>
    <xf numFmtId="168" fontId="23" fillId="0" borderId="7" xfId="0" applyNumberFormat="1" applyFont="1" applyBorder="1" applyAlignment="1" applyProtection="1">
      <alignment horizontal="left" vertical="center"/>
    </xf>
    <xf numFmtId="168" fontId="23" fillId="0" borderId="0" xfId="0" applyNumberFormat="1" applyFont="1" applyBorder="1" applyAlignment="1" applyProtection="1">
      <alignment horizontal="left" vertical="center"/>
    </xf>
    <xf numFmtId="168" fontId="23" fillId="0" borderId="6" xfId="0" applyNumberFormat="1" applyFont="1" applyBorder="1" applyAlignment="1" applyProtection="1">
      <alignment horizontal="left" vertical="center"/>
    </xf>
    <xf numFmtId="168" fontId="23" fillId="0" borderId="93" xfId="0" applyNumberFormat="1" applyFont="1" applyBorder="1" applyAlignment="1" applyProtection="1">
      <alignment horizontal="left" vertical="center"/>
    </xf>
    <xf numFmtId="168" fontId="23" fillId="0" borderId="52" xfId="0" applyNumberFormat="1" applyFont="1" applyBorder="1" applyAlignment="1" applyProtection="1">
      <alignment horizontal="left" vertical="center"/>
    </xf>
    <xf numFmtId="168" fontId="23" fillId="0" borderId="64" xfId="0" applyNumberFormat="1" applyFont="1" applyBorder="1" applyAlignment="1" applyProtection="1">
      <alignment horizontal="left" vertical="center"/>
    </xf>
    <xf numFmtId="168" fontId="23" fillId="0" borderId="72" xfId="0" applyNumberFormat="1" applyFont="1" applyBorder="1" applyAlignment="1" applyProtection="1">
      <alignment horizontal="left" vertical="center"/>
    </xf>
    <xf numFmtId="0" fontId="22" fillId="4" borderId="68" xfId="0" applyFont="1" applyFill="1" applyBorder="1" applyAlignment="1" applyProtection="1">
      <alignment horizontal="center"/>
      <protection locked="0"/>
    </xf>
    <xf numFmtId="0" fontId="22" fillId="4" borderId="30" xfId="0" applyFont="1" applyFill="1" applyBorder="1" applyAlignment="1" applyProtection="1">
      <alignment horizontal="center"/>
      <protection locked="0"/>
    </xf>
    <xf numFmtId="0" fontId="23" fillId="4" borderId="68" xfId="0" applyFont="1" applyFill="1" applyBorder="1" applyAlignment="1" applyProtection="1">
      <alignment horizontal="left" wrapText="1"/>
      <protection locked="0"/>
    </xf>
    <xf numFmtId="0" fontId="23" fillId="4" borderId="69" xfId="0" applyFont="1" applyFill="1" applyBorder="1" applyAlignment="1" applyProtection="1">
      <alignment horizontal="left" wrapText="1"/>
      <protection locked="0"/>
    </xf>
    <xf numFmtId="0" fontId="11" fillId="0" borderId="47" xfId="0" applyFont="1" applyBorder="1" applyAlignment="1" applyProtection="1">
      <alignment horizontal="center"/>
    </xf>
    <xf numFmtId="0" fontId="10" fillId="0" borderId="48" xfId="0" applyFont="1" applyBorder="1" applyAlignment="1" applyProtection="1">
      <alignment horizontal="center"/>
    </xf>
    <xf numFmtId="0" fontId="10" fillId="0" borderId="49" xfId="0" applyFont="1" applyBorder="1" applyAlignment="1" applyProtection="1">
      <alignment horizontal="center"/>
    </xf>
    <xf numFmtId="0" fontId="10" fillId="2" borderId="0" xfId="0" applyFont="1" applyFill="1" applyAlignment="1" applyProtection="1">
      <alignment horizontal="left"/>
    </xf>
    <xf numFmtId="0" fontId="10" fillId="0" borderId="53" xfId="3" applyFont="1" applyFill="1" applyBorder="1" applyAlignment="1" applyProtection="1">
      <alignment horizontal="left"/>
    </xf>
    <xf numFmtId="0" fontId="10" fillId="0" borderId="54" xfId="3" applyFont="1" applyFill="1" applyBorder="1" applyAlignment="1" applyProtection="1">
      <alignment horizontal="left"/>
    </xf>
    <xf numFmtId="0" fontId="10" fillId="0" borderId="55" xfId="3" applyFont="1" applyFill="1" applyBorder="1" applyAlignment="1" applyProtection="1">
      <alignment horizontal="left"/>
    </xf>
    <xf numFmtId="0" fontId="10" fillId="0" borderId="56" xfId="3" applyFont="1" applyFill="1" applyBorder="1" applyAlignment="1" applyProtection="1">
      <alignment horizontal="left"/>
    </xf>
    <xf numFmtId="0" fontId="10" fillId="0" borderId="51" xfId="3" applyFont="1" applyFill="1" applyBorder="1" applyAlignment="1" applyProtection="1">
      <alignment horizontal="left"/>
    </xf>
    <xf numFmtId="0" fontId="10" fillId="0" borderId="57" xfId="3" applyFont="1" applyFill="1" applyBorder="1" applyAlignment="1" applyProtection="1">
      <alignment horizontal="left"/>
    </xf>
    <xf numFmtId="0" fontId="10" fillId="0" borderId="58" xfId="3" applyFont="1" applyFill="1" applyBorder="1" applyAlignment="1" applyProtection="1">
      <alignment horizontal="left"/>
    </xf>
    <xf numFmtId="0" fontId="10" fillId="0" borderId="59" xfId="3" applyFont="1" applyFill="1" applyBorder="1" applyAlignment="1" applyProtection="1">
      <alignment horizontal="left"/>
    </xf>
    <xf numFmtId="0" fontId="10" fillId="0" borderId="60" xfId="3" applyFont="1" applyFill="1" applyBorder="1" applyAlignment="1" applyProtection="1">
      <alignment horizontal="left"/>
    </xf>
    <xf numFmtId="0" fontId="11" fillId="0" borderId="18" xfId="0" applyFont="1" applyBorder="1" applyAlignment="1" applyProtection="1">
      <alignment horizontal="left" vertical="center"/>
    </xf>
    <xf numFmtId="0" fontId="11" fillId="0" borderId="19" xfId="0" applyFont="1" applyBorder="1" applyAlignment="1" applyProtection="1">
      <alignment horizontal="left" vertical="center"/>
    </xf>
    <xf numFmtId="0" fontId="10" fillId="0" borderId="36" xfId="0" applyFont="1" applyFill="1" applyBorder="1" applyAlignment="1" applyProtection="1">
      <alignment horizontal="left"/>
    </xf>
    <xf numFmtId="0" fontId="10" fillId="0" borderId="21" xfId="0" applyFont="1" applyFill="1" applyBorder="1" applyAlignment="1" applyProtection="1">
      <alignment horizontal="left"/>
    </xf>
    <xf numFmtId="0" fontId="10" fillId="0" borderId="31" xfId="0" applyFont="1" applyFill="1" applyBorder="1" applyAlignment="1" applyProtection="1">
      <alignment horizontal="left"/>
    </xf>
    <xf numFmtId="0" fontId="10" fillId="0" borderId="37" xfId="0" applyFont="1" applyFill="1" applyBorder="1" applyAlignment="1" applyProtection="1">
      <alignment horizontal="left"/>
    </xf>
    <xf numFmtId="0" fontId="10" fillId="0" borderId="22" xfId="0" applyFont="1" applyFill="1" applyBorder="1" applyAlignment="1" applyProtection="1">
      <alignment horizontal="left"/>
    </xf>
    <xf numFmtId="0" fontId="10" fillId="0" borderId="32" xfId="0" applyFont="1" applyFill="1" applyBorder="1" applyAlignment="1" applyProtection="1">
      <alignment horizontal="left"/>
    </xf>
    <xf numFmtId="0" fontId="10" fillId="0" borderId="33" xfId="0" applyFont="1" applyFill="1" applyBorder="1" applyAlignment="1" applyProtection="1">
      <alignment horizontal="left"/>
    </xf>
    <xf numFmtId="0" fontId="10" fillId="0" borderId="34" xfId="0" applyFont="1" applyFill="1" applyBorder="1" applyAlignment="1" applyProtection="1">
      <alignment horizontal="left"/>
    </xf>
    <xf numFmtId="0" fontId="10" fillId="0" borderId="35" xfId="0" applyFont="1" applyFill="1" applyBorder="1" applyAlignment="1" applyProtection="1">
      <alignment horizontal="left"/>
    </xf>
    <xf numFmtId="0" fontId="11" fillId="0" borderId="5" xfId="0" applyFont="1" applyBorder="1" applyAlignment="1" applyProtection="1">
      <alignment horizontal="center"/>
    </xf>
    <xf numFmtId="0" fontId="11" fillId="0" borderId="28" xfId="0" applyFont="1" applyBorder="1" applyAlignment="1" applyProtection="1">
      <alignment horizontal="center"/>
    </xf>
    <xf numFmtId="0" fontId="11" fillId="0" borderId="52" xfId="0" applyFont="1" applyBorder="1" applyAlignment="1" applyProtection="1">
      <alignment horizontal="center"/>
    </xf>
    <xf numFmtId="0" fontId="10" fillId="0" borderId="53" xfId="0" applyFont="1" applyFill="1" applyBorder="1" applyAlignment="1" applyProtection="1">
      <alignment horizontal="left"/>
    </xf>
    <xf numFmtId="0" fontId="10" fillId="0" borderId="54" xfId="0" applyFont="1" applyFill="1" applyBorder="1" applyAlignment="1" applyProtection="1">
      <alignment horizontal="left"/>
    </xf>
    <xf numFmtId="0" fontId="10" fillId="0" borderId="55" xfId="0" applyFont="1" applyFill="1" applyBorder="1" applyAlignment="1" applyProtection="1">
      <alignment horizontal="left"/>
    </xf>
    <xf numFmtId="0" fontId="10" fillId="0" borderId="56" xfId="0" applyFont="1" applyFill="1" applyBorder="1" applyAlignment="1" applyProtection="1">
      <alignment horizontal="left"/>
    </xf>
    <xf numFmtId="0" fontId="10" fillId="0" borderId="51" xfId="0" applyFont="1" applyFill="1" applyBorder="1" applyAlignment="1" applyProtection="1">
      <alignment horizontal="left"/>
    </xf>
    <xf numFmtId="0" fontId="10" fillId="0" borderId="57" xfId="0" applyFont="1" applyFill="1" applyBorder="1" applyAlignment="1" applyProtection="1">
      <alignment horizontal="left"/>
    </xf>
    <xf numFmtId="0" fontId="10" fillId="0" borderId="58" xfId="0" applyFont="1" applyFill="1" applyBorder="1" applyAlignment="1" applyProtection="1">
      <alignment horizontal="left"/>
    </xf>
    <xf numFmtId="0" fontId="10" fillId="0" borderId="59" xfId="0" applyFont="1" applyFill="1" applyBorder="1" applyAlignment="1" applyProtection="1">
      <alignment horizontal="left"/>
    </xf>
    <xf numFmtId="0" fontId="10" fillId="0" borderId="60" xfId="0" applyFont="1" applyFill="1" applyBorder="1" applyAlignment="1" applyProtection="1">
      <alignment horizontal="left"/>
    </xf>
  </cellXfs>
  <cellStyles count="5">
    <cellStyle name="Dezimal 2" xfId="2" xr:uid="{00000000-0005-0000-0000-000000000000}"/>
    <cellStyle name="Komma" xfId="1" builtinId="3"/>
    <cellStyle name="Prozent" xfId="4" builtinId="5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BD09-E026-49D0-805E-83E3DBDED530}">
  <sheetPr codeName="Tabelle1"/>
  <dimension ref="A1:F49"/>
  <sheetViews>
    <sheetView tabSelected="1" zoomScaleNormal="100" zoomScaleSheetLayoutView="80" zoomScalePageLayoutView="85" workbookViewId="0">
      <selection activeCell="B4" sqref="B4"/>
    </sheetView>
  </sheetViews>
  <sheetFormatPr baseColWidth="10" defaultColWidth="0" defaultRowHeight="12" zeroHeight="1" x14ac:dyDescent="0.2"/>
  <cols>
    <col min="1" max="1" width="16.7109375" style="171" customWidth="1"/>
    <col min="2" max="5" width="15.7109375" style="171" customWidth="1"/>
    <col min="6" max="6" width="3.5703125" style="171" customWidth="1"/>
    <col min="7" max="16384" width="11.42578125" style="171" hidden="1"/>
  </cols>
  <sheetData>
    <row r="1" spans="1:5" x14ac:dyDescent="0.2">
      <c r="A1" s="169" t="s">
        <v>50</v>
      </c>
      <c r="B1" s="170"/>
      <c r="C1" s="170"/>
      <c r="D1" s="170"/>
      <c r="E1" s="170"/>
    </row>
    <row r="2" spans="1:5" x14ac:dyDescent="0.2">
      <c r="A2" s="172" t="s">
        <v>81</v>
      </c>
      <c r="B2" s="168" t="s">
        <v>87</v>
      </c>
      <c r="C2" s="173"/>
      <c r="D2" s="173"/>
      <c r="E2" s="170"/>
    </row>
    <row r="3" spans="1:5" x14ac:dyDescent="0.2">
      <c r="A3" s="172" t="s">
        <v>17</v>
      </c>
      <c r="B3" s="200" t="s">
        <v>91</v>
      </c>
      <c r="C3" s="201"/>
      <c r="D3" s="202"/>
      <c r="E3" s="170"/>
    </row>
    <row r="4" spans="1:5" x14ac:dyDescent="0.2">
      <c r="A4" s="172" t="s">
        <v>51</v>
      </c>
      <c r="B4" s="203" t="s">
        <v>94</v>
      </c>
      <c r="C4" s="204"/>
      <c r="D4" s="205"/>
      <c r="E4" s="170"/>
    </row>
    <row r="5" spans="1:5" x14ac:dyDescent="0.2">
      <c r="A5" s="206" t="s">
        <v>16</v>
      </c>
      <c r="B5" s="207"/>
      <c r="C5" s="207"/>
      <c r="D5" s="207"/>
      <c r="E5" s="208"/>
    </row>
    <row r="6" spans="1:5" ht="12.75" thickBot="1" x14ac:dyDescent="0.25">
      <c r="A6" s="174"/>
      <c r="B6" s="175"/>
      <c r="C6" s="175"/>
      <c r="D6" s="175"/>
      <c r="E6" s="175"/>
    </row>
    <row r="7" spans="1:5" ht="13.5" customHeight="1" thickBot="1" x14ac:dyDescent="0.25">
      <c r="A7" s="176" t="s">
        <v>52</v>
      </c>
      <c r="B7" s="283" t="s">
        <v>90</v>
      </c>
      <c r="C7" s="284"/>
      <c r="D7" s="281"/>
      <c r="E7" s="282"/>
    </row>
    <row r="8" spans="1:5" x14ac:dyDescent="0.2">
      <c r="A8" s="198" t="s">
        <v>53</v>
      </c>
      <c r="B8" s="227" t="str">
        <f>_xlfn.IFS(B2="Rechteck","Dicke",B2="Rund","Durchmesser1")</f>
        <v>Dicke</v>
      </c>
      <c r="C8" s="227" t="str">
        <f>_xlfn.IFS(B2="Rechteck","Breite",B2="Rund","Durchmesser2")</f>
        <v>Breite</v>
      </c>
      <c r="D8" s="227" t="s">
        <v>54</v>
      </c>
      <c r="E8" s="228" t="s">
        <v>55</v>
      </c>
    </row>
    <row r="9" spans="1:5" ht="12.75" thickBot="1" x14ac:dyDescent="0.25">
      <c r="A9" s="199"/>
      <c r="B9" s="229" t="s">
        <v>56</v>
      </c>
      <c r="C9" s="230" t="s">
        <v>56</v>
      </c>
      <c r="D9" s="229" t="s">
        <v>56</v>
      </c>
      <c r="E9" s="231" t="s">
        <v>57</v>
      </c>
    </row>
    <row r="10" spans="1:5" x14ac:dyDescent="0.2">
      <c r="A10" s="177">
        <v>1</v>
      </c>
      <c r="B10" s="215">
        <v>3.0019999999999998</v>
      </c>
      <c r="C10" s="215">
        <v>9.0630000000000006</v>
      </c>
      <c r="D10" s="216">
        <v>100.05</v>
      </c>
      <c r="E10" s="217">
        <v>21.36185</v>
      </c>
    </row>
    <row r="11" spans="1:5" x14ac:dyDescent="0.2">
      <c r="A11" s="178">
        <v>2</v>
      </c>
      <c r="B11" s="218">
        <v>3.0019999999999998</v>
      </c>
      <c r="C11" s="218">
        <v>9.0630000000000006</v>
      </c>
      <c r="D11" s="219">
        <v>100.05</v>
      </c>
      <c r="E11" s="220">
        <v>21.361840000000001</v>
      </c>
    </row>
    <row r="12" spans="1:5" x14ac:dyDescent="0.2">
      <c r="A12" s="178">
        <v>3</v>
      </c>
      <c r="B12" s="218">
        <v>3.0019999999999998</v>
      </c>
      <c r="C12" s="218">
        <v>9.0640000000000001</v>
      </c>
      <c r="D12" s="219"/>
      <c r="E12" s="220"/>
    </row>
    <row r="13" spans="1:5" x14ac:dyDescent="0.2">
      <c r="A13" s="178">
        <v>4</v>
      </c>
      <c r="B13" s="218">
        <v>3.0009999999999999</v>
      </c>
      <c r="C13" s="218">
        <v>9.0709999999999997</v>
      </c>
      <c r="D13" s="221"/>
      <c r="E13" s="220"/>
    </row>
    <row r="14" spans="1:5" x14ac:dyDescent="0.2">
      <c r="A14" s="178">
        <v>5</v>
      </c>
      <c r="B14" s="218">
        <v>3.0009999999999999</v>
      </c>
      <c r="C14" s="218">
        <v>9.0749999999999993</v>
      </c>
      <c r="D14" s="219"/>
      <c r="E14" s="220"/>
    </row>
    <row r="15" spans="1:5" x14ac:dyDescent="0.2">
      <c r="A15" s="178">
        <v>6</v>
      </c>
      <c r="B15" s="218"/>
      <c r="C15" s="218"/>
      <c r="D15" s="222"/>
      <c r="E15" s="223"/>
    </row>
    <row r="16" spans="1:5" x14ac:dyDescent="0.2">
      <c r="A16" s="178">
        <v>7</v>
      </c>
      <c r="B16" s="218"/>
      <c r="C16" s="218"/>
      <c r="D16" s="222"/>
      <c r="E16" s="223"/>
    </row>
    <row r="17" spans="1:5" ht="12.75" thickBot="1" x14ac:dyDescent="0.25">
      <c r="A17" s="179">
        <v>8</v>
      </c>
      <c r="B17" s="224"/>
      <c r="C17" s="224"/>
      <c r="D17" s="225"/>
      <c r="E17" s="226"/>
    </row>
    <row r="18" spans="1:5" ht="12.75" thickBot="1" x14ac:dyDescent="0.25">
      <c r="A18" s="180"/>
      <c r="B18" s="232"/>
      <c r="C18" s="233"/>
      <c r="D18" s="232"/>
      <c r="E18" s="234"/>
    </row>
    <row r="19" spans="1:5" x14ac:dyDescent="0.2">
      <c r="A19" s="181" t="s">
        <v>58</v>
      </c>
      <c r="B19" s="235">
        <f>_xlfn.IFS(B10=0,"",B2="Rechteck",_xlfn.STDEV.P(B10:B17),B2="Rund",_xlfn.STDEV.P(B10:C17))</f>
        <v>4.8989794855658169E-4</v>
      </c>
      <c r="C19" s="235">
        <f>_xlfn.IFS(B2="Rund","",C10=0,"",B2="Rechteck",_xlfn.STDEV.P(C10:C17))</f>
        <v>4.9152822909773195E-3</v>
      </c>
      <c r="D19" s="235">
        <f>IF(D10=0,"",_xlfn.STDEV.P(D10:D17))</f>
        <v>0</v>
      </c>
      <c r="E19" s="236">
        <f>IF(E10=0,"",_xlfn.STDEV.P(E10:E17))</f>
        <v>4.9999999998107114E-6</v>
      </c>
    </row>
    <row r="20" spans="1:5" x14ac:dyDescent="0.2">
      <c r="A20" s="182" t="s">
        <v>59</v>
      </c>
      <c r="B20" s="264">
        <f>_xlfn.IFS(B10=0,"",B2="Rechteck",COUNT(B10:B17),B2="Rund",COUNT(B10:C17))</f>
        <v>5</v>
      </c>
      <c r="C20" s="264">
        <f>_xlfn.IFS(B2="Rund","",C10=0,"",B2="Rechteck",COUNT(C10:C17))</f>
        <v>5</v>
      </c>
      <c r="D20" s="265">
        <f>IF(D10="","",COUNT(D10:D17))</f>
        <v>2</v>
      </c>
      <c r="E20" s="266">
        <f>IF(E10="","",COUNT(E10:E17))</f>
        <v>2</v>
      </c>
    </row>
    <row r="21" spans="1:5" x14ac:dyDescent="0.2">
      <c r="A21" s="182" t="s">
        <v>60</v>
      </c>
      <c r="B21" s="237">
        <f>_xlfn.IFS(B10="","",B2="Rechteck",AVERAGE(B10:B17),B2="Rund",AVERAGE(B10:C17))</f>
        <v>3.0015999999999998</v>
      </c>
      <c r="C21" s="237">
        <f>_xlfn.IFS(B2="Rund","",C10=0,"",B2="Rechteck",ROUND(AVERAGE(C10:C17),8))</f>
        <v>9.0671999999999997</v>
      </c>
      <c r="D21" s="239">
        <f>IF(D10=0,"",ROUND(AVERAGE(D10:D17),8))</f>
        <v>100.05</v>
      </c>
      <c r="E21" s="240">
        <f>IF(E10=0,"",ROUND(AVERAGE(E10:E17),8))</f>
        <v>21.361844999999999</v>
      </c>
    </row>
    <row r="22" spans="1:5" ht="12.75" thickBot="1" x14ac:dyDescent="0.25">
      <c r="A22" s="182" t="s">
        <v>86</v>
      </c>
      <c r="B22" s="237">
        <f>IF(B10=0,"",ROUND(B19/B21,8))</f>
        <v>1.6321E-4</v>
      </c>
      <c r="C22" s="237">
        <f>_xlfn.IFS(C10=0,"",B2="Rund","",B2="Rechteck",ROUND(C19/C21,8))</f>
        <v>5.4208999999999995E-4</v>
      </c>
      <c r="D22" s="237">
        <f t="shared" ref="D22" si="0">IF(D10=0,"",ROUND(D19/D21,8))</f>
        <v>0</v>
      </c>
      <c r="E22" s="238">
        <f>IF(E10=0,"",ROUND(E19/E21,8))</f>
        <v>2.2999999999999999E-7</v>
      </c>
    </row>
    <row r="23" spans="1:5" ht="15" thickBot="1" x14ac:dyDescent="0.25">
      <c r="A23" s="183" t="s">
        <v>61</v>
      </c>
      <c r="B23" s="241">
        <f>_xlfn.IFS(D21="","",B2="Rechteck",ROUND(B21*C21*D21/1000,8),B2="Rund",ROUND((PI()/4)*B21^2*D21/1000,8))</f>
        <v>2.72297156</v>
      </c>
      <c r="C23" s="242" t="s">
        <v>62</v>
      </c>
      <c r="D23" s="243">
        <f>_xlfn.IFS(B23="","",B2="Rechteck",SQRT(B22^2+C22^2+D22^2)*B23,B2="Rund",SQRT(2*B22^2+D22^2)*B23)</f>
        <v>1.5415460178400272E-3</v>
      </c>
      <c r="E23" s="244" t="s">
        <v>82</v>
      </c>
    </row>
    <row r="24" spans="1:5" ht="15" thickBot="1" x14ac:dyDescent="0.25">
      <c r="A24" s="183" t="s">
        <v>63</v>
      </c>
      <c r="B24" s="245">
        <f>IF(E21="","",ROUND(E21/B23,8))</f>
        <v>7.8450488800000002</v>
      </c>
      <c r="C24" s="242" t="s">
        <v>62</v>
      </c>
      <c r="D24" s="243">
        <f>_xlfn.IFS(B24="","",B2="Rechteck",SQRT(B22^2+C22^2+D22^2+E22^2)*B24,B2="Rund",SQRT((C32/100)^2+E22^2)*B24)</f>
        <v>4.4412894487856668E-3</v>
      </c>
      <c r="E24" s="244" t="s">
        <v>83</v>
      </c>
    </row>
    <row r="25" spans="1:5" x14ac:dyDescent="0.2">
      <c r="A25" s="184" t="s">
        <v>64</v>
      </c>
      <c r="B25" s="246" t="s">
        <v>65</v>
      </c>
      <c r="C25" s="246" t="s">
        <v>66</v>
      </c>
      <c r="D25" s="246" t="s">
        <v>67</v>
      </c>
      <c r="E25" s="247" t="s">
        <v>68</v>
      </c>
    </row>
    <row r="26" spans="1:5" x14ac:dyDescent="0.2">
      <c r="A26" s="185"/>
      <c r="B26" s="248"/>
      <c r="C26" s="248" t="s">
        <v>69</v>
      </c>
      <c r="D26" s="248" t="s">
        <v>70</v>
      </c>
      <c r="E26" s="249" t="s">
        <v>71</v>
      </c>
    </row>
    <row r="27" spans="1:5" ht="12.75" thickBot="1" x14ac:dyDescent="0.25">
      <c r="A27" s="186"/>
      <c r="B27" s="230"/>
      <c r="C27" s="230" t="s">
        <v>72</v>
      </c>
      <c r="D27" s="230" t="s">
        <v>73</v>
      </c>
      <c r="E27" s="250" t="s">
        <v>74</v>
      </c>
    </row>
    <row r="28" spans="1:5" x14ac:dyDescent="0.2">
      <c r="A28" s="187" t="s">
        <v>75</v>
      </c>
      <c r="B28" s="251">
        <f>IF(E21="","",ROUND(E21,3))</f>
        <v>21.361999999999998</v>
      </c>
      <c r="C28" s="252">
        <f>IF(E19="","",(ROUND(E19/E21*100,3)))</f>
        <v>0</v>
      </c>
      <c r="D28" s="253"/>
      <c r="E28" s="254"/>
    </row>
    <row r="29" spans="1:5" x14ac:dyDescent="0.2">
      <c r="A29" s="188" t="s">
        <v>76</v>
      </c>
      <c r="B29" s="255">
        <f>IF(D21="","",ROUND(D21,2))</f>
        <v>100.05</v>
      </c>
      <c r="C29" s="256">
        <f>IF(D19="","",(ROUND(D19/D21*100,3)))</f>
        <v>0</v>
      </c>
      <c r="D29" s="257" t="str">
        <f>IF(D10="","",(IF((200*(MAX(D10:D17)-MIN(D10:D17)))&lt;=D21,"ja","nein")))</f>
        <v>ja</v>
      </c>
      <c r="E29" s="258" t="str">
        <f>IF(C29="","",(IF(C29&lt;=0.1,"ja","nein")))</f>
        <v>ja</v>
      </c>
    </row>
    <row r="30" spans="1:5" x14ac:dyDescent="0.2">
      <c r="A30" s="189" t="str">
        <f>_xlfn.IFS(B2="Rechteck","Breite      [mm]",B2="Rund","Durchmesser[mm]")</f>
        <v>Breite      [mm]</v>
      </c>
      <c r="B30" s="259">
        <f>_xlfn.IFS(B21="","",B2="Rechteck",ROUND(C21,3),B2="Rund",ROUND(B21,3))</f>
        <v>9.0670000000000002</v>
      </c>
      <c r="C30" s="260">
        <f>_xlfn.IFS(B21="","",B2="Rechteck",(ROUND(C19/C21*100,3)),B2="Rund",ROUND(B19/B21*100,3))</f>
        <v>5.3999999999999999E-2</v>
      </c>
      <c r="D30" s="260" t="str">
        <f>_xlfn.IFS(C10="","",B2="Rechteck",(IF((100*(MAX(C10:C17)-MIN(C10:C17)))&lt;=C21,"ja","nein")),B2="Rund",(IF((100*(MAX(B10:C17)-MIN(B10:C17)))&lt;=B21,"ja","nein")))</f>
        <v>ja</v>
      </c>
      <c r="E30" s="261" t="str">
        <f>IF(C30="","",(IF(C30&lt;=0.1,"ja","nein")))</f>
        <v>ja</v>
      </c>
    </row>
    <row r="31" spans="1:5" x14ac:dyDescent="0.2">
      <c r="A31" s="189" t="str">
        <f>_xlfn.IFS(B2="Rechteck","Dicke      [mm]",B2="Rund","")</f>
        <v>Dicke      [mm]</v>
      </c>
      <c r="B31" s="260">
        <f>_xlfn.IFS(B21="","",B2="Rund","",B2="Rechteck",ROUND(B21,3))</f>
        <v>3.0019999999999998</v>
      </c>
      <c r="C31" s="260">
        <f>_xlfn.IFS(B19="","",B2="Rund","",B2="Rechteck",(ROUND(B19/B21*100,3)))</f>
        <v>1.6E-2</v>
      </c>
      <c r="D31" s="260" t="str">
        <f>_xlfn.IFS(B10="","",B2="Rechteck",(IF((100*(MAX(B10:B17)-MIN(B10:B17)))&lt;=B21,"ja","nein")),B2="Rund","")</f>
        <v>ja</v>
      </c>
      <c r="E31" s="261" t="str">
        <f>IF(C31="","",(IF(C31&lt;=0.1,"ja","nein")))</f>
        <v>ja</v>
      </c>
    </row>
    <row r="32" spans="1:5" ht="14.25" x14ac:dyDescent="0.2">
      <c r="A32" s="189" t="s">
        <v>84</v>
      </c>
      <c r="B32" s="260">
        <f>IF(B23="","",ROUND(B23,3))</f>
        <v>2.7229999999999999</v>
      </c>
      <c r="C32" s="260">
        <f>IF(D23="","",(D23/B23*100))</f>
        <v>5.6612637476097155E-2</v>
      </c>
      <c r="D32" s="260"/>
      <c r="E32" s="261"/>
    </row>
    <row r="33" spans="1:5" ht="14.25" x14ac:dyDescent="0.2">
      <c r="A33" s="189" t="s">
        <v>85</v>
      </c>
      <c r="B33" s="260">
        <f>IF(B24="","",ROUND(B24,3))</f>
        <v>7.8449999999999998</v>
      </c>
      <c r="C33" s="260">
        <f>IF(D24="","",(D24/B24*100))</f>
        <v>5.6612642148198659E-2</v>
      </c>
      <c r="D33" s="260"/>
      <c r="E33" s="261"/>
    </row>
    <row r="34" spans="1:5" ht="12.75" thickBot="1" x14ac:dyDescent="0.25">
      <c r="A34" s="190"/>
      <c r="B34" s="262"/>
      <c r="C34" s="262"/>
      <c r="D34" s="262"/>
      <c r="E34" s="263"/>
    </row>
    <row r="35" spans="1:5" ht="12.75" thickBot="1" x14ac:dyDescent="0.25">
      <c r="A35" s="191" t="s">
        <v>77</v>
      </c>
      <c r="B35" s="192"/>
      <c r="C35" s="192"/>
      <c r="D35" s="192"/>
      <c r="E35" s="193"/>
    </row>
    <row r="36" spans="1:5" x14ac:dyDescent="0.2">
      <c r="A36" s="267" t="s">
        <v>78</v>
      </c>
      <c r="B36" s="209"/>
      <c r="C36" s="209"/>
      <c r="D36" s="209"/>
      <c r="E36" s="210"/>
    </row>
    <row r="37" spans="1:5" x14ac:dyDescent="0.2">
      <c r="A37" s="268" t="s">
        <v>79</v>
      </c>
      <c r="B37" s="211"/>
      <c r="C37" s="211"/>
      <c r="D37" s="211"/>
      <c r="E37" s="212"/>
    </row>
    <row r="38" spans="1:5" ht="12.75" thickBot="1" x14ac:dyDescent="0.25">
      <c r="A38" s="269" t="s">
        <v>80</v>
      </c>
      <c r="B38" s="213"/>
      <c r="C38" s="213"/>
      <c r="D38" s="213"/>
      <c r="E38" s="214"/>
    </row>
    <row r="39" spans="1:5" ht="12.75" thickBot="1" x14ac:dyDescent="0.25">
      <c r="A39" s="170"/>
      <c r="B39" s="170"/>
      <c r="C39" s="170"/>
      <c r="D39" s="170"/>
      <c r="E39" s="170"/>
    </row>
    <row r="40" spans="1:5" ht="11.45" customHeight="1" x14ac:dyDescent="0.2">
      <c r="A40" s="272" t="s">
        <v>8</v>
      </c>
      <c r="B40" s="273"/>
      <c r="C40" s="273" t="s">
        <v>8</v>
      </c>
      <c r="D40" s="273"/>
      <c r="E40" s="278"/>
    </row>
    <row r="41" spans="1:5" ht="11.45" customHeight="1" x14ac:dyDescent="0.2">
      <c r="A41" s="274"/>
      <c r="B41" s="275"/>
      <c r="C41" s="275"/>
      <c r="D41" s="275"/>
      <c r="E41" s="279"/>
    </row>
    <row r="42" spans="1:5" ht="11.45" customHeight="1" x14ac:dyDescent="0.2">
      <c r="A42" s="274" t="s">
        <v>9</v>
      </c>
      <c r="B42" s="275"/>
      <c r="C42" s="275" t="s">
        <v>7</v>
      </c>
      <c r="D42" s="275"/>
      <c r="E42" s="279"/>
    </row>
    <row r="43" spans="1:5" ht="12" customHeight="1" thickBot="1" x14ac:dyDescent="0.25">
      <c r="A43" s="276"/>
      <c r="B43" s="277"/>
      <c r="C43" s="277"/>
      <c r="D43" s="277"/>
      <c r="E43" s="280"/>
    </row>
    <row r="44" spans="1:5" x14ac:dyDescent="0.2">
      <c r="A44" s="170"/>
      <c r="B44" s="170"/>
      <c r="C44" s="170"/>
      <c r="D44" s="170"/>
      <c r="E44" s="170"/>
    </row>
    <row r="45" spans="1:5" ht="11.45" hidden="1" customHeight="1" x14ac:dyDescent="0.2">
      <c r="A45" s="170"/>
      <c r="B45" s="170"/>
      <c r="C45" s="170"/>
      <c r="D45" s="170"/>
      <c r="E45" s="170"/>
    </row>
    <row r="46" spans="1:5" ht="11.45" hidden="1" customHeight="1" x14ac:dyDescent="0.2">
      <c r="A46" s="170"/>
      <c r="B46" s="170"/>
      <c r="C46" s="170"/>
      <c r="D46" s="170"/>
      <c r="E46" s="170"/>
    </row>
    <row r="47" spans="1:5" ht="11.45" hidden="1" customHeight="1" x14ac:dyDescent="0.2">
      <c r="A47" s="170"/>
      <c r="B47" s="170"/>
      <c r="C47" s="170"/>
      <c r="D47" s="170"/>
      <c r="E47" s="170"/>
    </row>
    <row r="48" spans="1:5" ht="11.45" hidden="1" customHeight="1" x14ac:dyDescent="0.2">
      <c r="A48" s="170"/>
      <c r="B48" s="170"/>
      <c r="C48" s="170"/>
      <c r="D48" s="170"/>
      <c r="E48" s="170"/>
    </row>
    <row r="49" spans="1:5" ht="11.45" hidden="1" customHeight="1" x14ac:dyDescent="0.2">
      <c r="A49" s="170"/>
      <c r="B49" s="170"/>
      <c r="C49" s="170"/>
      <c r="D49" s="170"/>
      <c r="E49" s="170"/>
    </row>
  </sheetData>
  <sheetProtection algorithmName="SHA-512" hashValue="1iEyMh8a7ereF+I0oRai7ghM5/LbBchwHXIY6V2+wDdLzi8feWgg/8aLQ641JQXlOBnOn6oZKWsYlIEYEQBbZg==" saltValue="99HxTzNEr1a3O+rTZynRgA==" spinCount="100000" sheet="1" objects="1" scenarios="1"/>
  <mergeCells count="6">
    <mergeCell ref="A40:B41"/>
    <mergeCell ref="A42:B43"/>
    <mergeCell ref="C40:E41"/>
    <mergeCell ref="C42:E43"/>
    <mergeCell ref="D7:E7"/>
    <mergeCell ref="B7:C7"/>
  </mergeCells>
  <dataValidations disablePrompts="1" count="1">
    <dataValidation type="list" allowBlank="1" showInputMessage="1" showErrorMessage="1" sqref="B2" xr:uid="{EBC811C1-C50D-4A30-A981-2609A447A499}">
      <formula1>"Rechteck,Rund"</formula1>
    </dataValidation>
  </dataValidations>
  <pageMargins left="0.7" right="0.7" top="0.75" bottom="0.75" header="0.3" footer="0.3"/>
  <pageSetup paperSize="9" fitToWidth="0" orientation="portrait" r:id="rId1"/>
  <headerFooter>
    <oddHeader>&amp;LAnlage 3 zu 5.2-PV005&amp;CSeite 1 von 5&amp;R2020-09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O50"/>
  <sheetViews>
    <sheetView zoomScaleNormal="100" workbookViewId="0">
      <selection activeCell="C19" sqref="C19"/>
    </sheetView>
  </sheetViews>
  <sheetFormatPr baseColWidth="10" defaultColWidth="0" defaultRowHeight="14.25" zeroHeight="1" x14ac:dyDescent="0.2"/>
  <cols>
    <col min="1" max="1" width="14.28515625" style="2" customWidth="1"/>
    <col min="2" max="11" width="11.28515625" style="2" customWidth="1"/>
    <col min="12" max="12" width="4.7109375" style="2" customWidth="1"/>
    <col min="13" max="15" width="0" style="2" hidden="1" customWidth="1"/>
    <col min="16" max="16384" width="8.140625" style="2" hidden="1"/>
  </cols>
  <sheetData>
    <row r="1" spans="1:12" s="3" customFormat="1" ht="15.75" x14ac:dyDescent="0.25">
      <c r="A1" s="62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s="4" customFormat="1" ht="12.75" x14ac:dyDescent="0.2">
      <c r="A2" s="63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9"/>
      <c r="J3" s="20"/>
      <c r="K3" s="18"/>
    </row>
    <row r="4" spans="1:12" ht="15" x14ac:dyDescent="0.25">
      <c r="A4" s="18" t="s">
        <v>17</v>
      </c>
      <c r="B4" s="289" t="str">
        <f>IF(Probendimensionen!B3="","",Probendimensionen!B3)</f>
        <v>5.22/430</v>
      </c>
      <c r="C4" s="290"/>
      <c r="D4" s="290"/>
      <c r="E4" s="290"/>
      <c r="F4" s="290"/>
      <c r="G4" s="291"/>
      <c r="H4" s="18"/>
      <c r="I4" s="18"/>
      <c r="J4" s="18"/>
      <c r="K4" s="18"/>
    </row>
    <row r="5" spans="1:12" ht="15" x14ac:dyDescent="0.25">
      <c r="A5" s="18" t="s">
        <v>6</v>
      </c>
      <c r="B5" s="292" t="str">
        <f>IF(Probendimensionen!B4="","",Probendimensionen!B4)</f>
        <v>S355J2 + N</v>
      </c>
      <c r="C5" s="293"/>
      <c r="D5" s="293"/>
      <c r="E5" s="293"/>
      <c r="F5" s="293"/>
      <c r="G5" s="294"/>
      <c r="H5" s="18"/>
      <c r="I5" s="18"/>
      <c r="J5" s="18"/>
      <c r="K5" s="18"/>
    </row>
    <row r="6" spans="1:12" ht="15.75" thickBot="1" x14ac:dyDescent="0.3">
      <c r="A6" s="18" t="s">
        <v>22</v>
      </c>
      <c r="B6" s="295" t="str">
        <f>IF(Probendimensionen!B7="","",Probendimensionen!B7)</f>
        <v>ERX2</v>
      </c>
      <c r="C6" s="296"/>
      <c r="D6" s="296"/>
      <c r="E6" s="296"/>
      <c r="F6" s="296"/>
      <c r="G6" s="297"/>
      <c r="H6" s="18"/>
      <c r="I6" s="18"/>
      <c r="J6" s="18"/>
      <c r="K6" s="18"/>
    </row>
    <row r="7" spans="1:12" ht="8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2" ht="15" x14ac:dyDescent="0.25">
      <c r="A8" s="298" t="s">
        <v>0</v>
      </c>
      <c r="B8" s="285" t="s">
        <v>1</v>
      </c>
      <c r="C8" s="286"/>
      <c r="D8" s="286"/>
      <c r="E8" s="286"/>
      <c r="F8" s="286"/>
      <c r="G8" s="286"/>
      <c r="H8" s="286"/>
      <c r="I8" s="286"/>
      <c r="J8" s="286"/>
      <c r="K8" s="287"/>
    </row>
    <row r="9" spans="1:12" ht="15.75" thickBot="1" x14ac:dyDescent="0.3">
      <c r="A9" s="299"/>
      <c r="B9" s="21">
        <v>24</v>
      </c>
      <c r="C9" s="22">
        <v>24</v>
      </c>
      <c r="D9" s="22"/>
      <c r="E9" s="22"/>
      <c r="F9" s="22"/>
      <c r="G9" s="22"/>
      <c r="H9" s="22"/>
      <c r="I9" s="22"/>
      <c r="J9" s="22"/>
      <c r="K9" s="118"/>
      <c r="L9" s="5"/>
    </row>
    <row r="10" spans="1:12" ht="15" x14ac:dyDescent="0.25">
      <c r="A10" s="69" t="s">
        <v>4</v>
      </c>
      <c r="B10" s="23"/>
      <c r="C10" s="24"/>
      <c r="D10" s="24"/>
      <c r="E10" s="24"/>
      <c r="F10" s="24"/>
      <c r="G10" s="24"/>
      <c r="H10" s="24"/>
      <c r="I10" s="24"/>
      <c r="J10" s="24"/>
      <c r="K10" s="120"/>
    </row>
    <row r="11" spans="1:12" ht="15" x14ac:dyDescent="0.25">
      <c r="A11" s="70" t="s">
        <v>13</v>
      </c>
      <c r="B11" s="194">
        <f>IF(Probendimensionen!B2="Rechteck",Probendimensionen!B28,"")</f>
        <v>21.361999999999998</v>
      </c>
      <c r="C11" s="25">
        <f>IF(C9="","",$B$11)</f>
        <v>21.361999999999998</v>
      </c>
      <c r="D11" s="25" t="str">
        <f t="shared" ref="D11:K11" si="0">IF(D$9="","",$B$11)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6" t="str">
        <f t="shared" si="0"/>
        <v/>
      </c>
      <c r="L11" s="6"/>
    </row>
    <row r="12" spans="1:12" ht="15" x14ac:dyDescent="0.25">
      <c r="A12" s="70" t="s">
        <v>14</v>
      </c>
      <c r="B12" s="197">
        <f>IF(Probendimensionen!B2="Rechteck",Probendimensionen!B29,"")</f>
        <v>100.05</v>
      </c>
      <c r="C12" s="27">
        <f>IF(C$9="","",IFERROR($B12*(1+C$10*(C$9-$B$9)),""))</f>
        <v>100.05</v>
      </c>
      <c r="D12" s="27" t="str">
        <f t="shared" ref="D12:K14" si="1">IF(D$9="","",IFERROR($B12*(1+D$10*(D$9-$B$9)),""))</f>
        <v/>
      </c>
      <c r="E12" s="27" t="str">
        <f t="shared" si="1"/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8" t="str">
        <f t="shared" si="1"/>
        <v/>
      </c>
      <c r="L12" s="7"/>
    </row>
    <row r="13" spans="1:12" ht="15" x14ac:dyDescent="0.25">
      <c r="A13" s="70" t="s">
        <v>15</v>
      </c>
      <c r="B13" s="194">
        <f>IF(Probendimensionen!B2="Rechteck",Probendimensionen!B30,"")</f>
        <v>9.0670000000000002</v>
      </c>
      <c r="C13" s="30">
        <f>IF(C$9="","",IFERROR($B13*(1+C$10*(C$9-$B$9)),""))</f>
        <v>9.0670000000000002</v>
      </c>
      <c r="D13" s="30" t="str">
        <f>IF(D$9="","",IFERROR($B13*(1+D$10*(D$9-$B$9)),""))</f>
        <v/>
      </c>
      <c r="E13" s="30" t="str">
        <f>IF(E$9="","",IFERROR($B13*(1+E$10*(E$9-$B$9)),""))</f>
        <v/>
      </c>
      <c r="F13" s="30" t="str">
        <f>IF(F$9="","",IFERROR($B13*(1+F$10*(F$9-$B$9)),""))</f>
        <v/>
      </c>
      <c r="G13" s="30" t="str">
        <f t="shared" si="1"/>
        <v/>
      </c>
      <c r="H13" s="30" t="str">
        <f t="shared" si="1"/>
        <v/>
      </c>
      <c r="I13" s="30" t="str">
        <f t="shared" si="1"/>
        <v/>
      </c>
      <c r="J13" s="30" t="str">
        <f t="shared" si="1"/>
        <v/>
      </c>
      <c r="K13" s="31" t="str">
        <f t="shared" si="1"/>
        <v/>
      </c>
      <c r="L13" s="8"/>
    </row>
    <row r="14" spans="1:12" ht="15" x14ac:dyDescent="0.25">
      <c r="A14" s="70" t="s">
        <v>18</v>
      </c>
      <c r="B14" s="194">
        <f>IF(Probendimensionen!B2="Rechteck",Probendimensionen!B31,"")</f>
        <v>3.0019999999999998</v>
      </c>
      <c r="C14" s="30">
        <f>IF(C$9="","",IFERROR($B14*(1+C$10*(C$9-$B$9)),""))</f>
        <v>3.0019999999999998</v>
      </c>
      <c r="D14" s="30" t="str">
        <f t="shared" ref="D14:F14" si="2">IF(D$9="","",IFERROR($B14*(1+D$10*(D$9-$B$9)),""))</f>
        <v/>
      </c>
      <c r="E14" s="30" t="str">
        <f t="shared" si="2"/>
        <v/>
      </c>
      <c r="F14" s="30" t="str">
        <f t="shared" si="2"/>
        <v/>
      </c>
      <c r="G14" s="30" t="str">
        <f t="shared" si="1"/>
        <v/>
      </c>
      <c r="H14" s="30" t="str">
        <f t="shared" si="1"/>
        <v/>
      </c>
      <c r="I14" s="30" t="str">
        <f t="shared" si="1"/>
        <v/>
      </c>
      <c r="J14" s="30" t="str">
        <f t="shared" si="1"/>
        <v/>
      </c>
      <c r="K14" s="31" t="str">
        <f t="shared" si="1"/>
        <v/>
      </c>
      <c r="L14" s="8"/>
    </row>
    <row r="15" spans="1:12" ht="18" x14ac:dyDescent="0.35">
      <c r="A15" s="70" t="s">
        <v>43</v>
      </c>
      <c r="B15" s="29">
        <v>1598.579</v>
      </c>
      <c r="C15" s="32">
        <v>1598.7470000000001</v>
      </c>
      <c r="D15" s="32"/>
      <c r="E15" s="32"/>
      <c r="F15" s="32"/>
      <c r="G15" s="32"/>
      <c r="H15" s="32"/>
      <c r="I15" s="32"/>
      <c r="J15" s="32"/>
      <c r="K15" s="33"/>
    </row>
    <row r="16" spans="1:12" ht="18" x14ac:dyDescent="0.35">
      <c r="A16" s="70" t="s">
        <v>44</v>
      </c>
      <c r="B16" s="29">
        <v>4704.5330000000004</v>
      </c>
      <c r="C16" s="32">
        <v>4707.067</v>
      </c>
      <c r="D16" s="32"/>
      <c r="E16" s="32"/>
      <c r="F16" s="32"/>
      <c r="G16" s="32"/>
      <c r="H16" s="32"/>
      <c r="I16" s="32"/>
      <c r="J16" s="32"/>
      <c r="K16" s="33"/>
    </row>
    <row r="17" spans="1:12" ht="18" x14ac:dyDescent="0.35">
      <c r="A17" s="70" t="s">
        <v>45</v>
      </c>
      <c r="B17" s="34">
        <f>IF(B15="","",IF(B12/B14&lt;20,1+(6.585*(1+0.0752*$B$19+0.8109*($B$19^2))*((B14/B12)^2))-(0.868*((B14/B12)^4))-((8.34*(1+0.2023*$B$19+2.173*($B$19^2)))*(B14/B12)^4)/(1+6.338*(1+0.1408*$B$19+1.536*($B$19^2))*((B14/B12)^2)),(1+6.585*((B14/B12)^2))))</f>
        <v>1.0059284746772041</v>
      </c>
      <c r="C17" s="35">
        <f>IF(C15="","",IF(C12/C14&lt;20,1+(6.585*(1+0.0752*$C$19+0.8109*($C$19^2))*((C14/C12)^2))-(0.868*((C14/C12)^4))-((8.34*(1+0.2023*$C$19+2.173*($C$19^2)))*(C14/C12)^4)/(1+6.338*(1+0.1408*$C$19+1.536*($C$19^2))*((C14/C12)^2)),(1+6.585*((C14/C12)^2))))</f>
        <v>1.0059284746772041</v>
      </c>
      <c r="D17" s="35" t="str">
        <f>IF(D15="","",IF(D12/D14&lt;20,1+(6.585*(1+0.0752*$D$19+0.8109*($D$19^2))*((D14/D12)^2))-(0.868*((D14/D12)^4))-((8.34*(1+0.2023*$D$19+2.173*($D$19^2)))*(D14/D12)^4)/(1+6.338*(1+0.1408*$D$19+1.536*($D$19^2))*((D14/D12)^2)),(1+6.585*((D14/D12)^2))))</f>
        <v/>
      </c>
      <c r="E17" s="35" t="str">
        <f>IF(E15="","",IF(E12/E14&lt;20,1+(6.585*(1+0.0752*$E$19+0.8109*($E$19^2))*((E14/E12)^2))-(0.868*((E14/E12)^4))-((8.34*(1+0.2023*$E$19+2.173*($E$19^2)))*(E14/E12)^4)/(1+6.338*(1+0.1408*$E$19+1.536*($E$19^2))*((E14/E12)^2)),(1+6.585*((E14/E12)^2))))</f>
        <v/>
      </c>
      <c r="F17" s="35" t="str">
        <f>IF(F15="","",IF(F12/F14&lt;20,1+(6.585*(1+0.0752*$F$19+0.8109*($F$19^2))*((F14/F12)^2))-(0.868*((F14/F12)^4))-((8.34*(1+0.2023*$F$19+2.173*($F$19^2)))*(F14/F12)^4)/(1+6.338*(1+0.1408*$F$192+1.536*($F$19^2))*((F14/F12)^2)),(1+6.585*((F14/F12)^2))))</f>
        <v/>
      </c>
      <c r="G17" s="35" t="str">
        <f>IF(G15="","",IF(G12/G14&lt;20,1+(6.585*(1+0.0752*$G$19+0.8109*($G$19^2))*((G14/G12)^2))-(0.868*((G14/G12)^4))-((8.34*(1+0.2023*$G$19+2.173*($G$19^2)))*(G14/G12)^4)/(1+6.338*(1+0.1408*$G$19+1.536*($G$19^2))*((G14/G12)^2)),(1+6.585*((G14/G12)^2))))</f>
        <v/>
      </c>
      <c r="H17" s="35" t="str">
        <f>IF(H15="","",IF(H12/H14&lt;20,1+(6.585*(1+0.0752*$H$19+0.8109*($H$19^2))*((H14/H12)^2))-(0.868*((H14/H12)^4))-((8.34*(1+0.2023*$H$19+2.173*($H$19^2)))*(H14/H12)^4)/(1+6.338*(1+0.1408*$H$19+1.536*($H$19^2))*((H14/H12)^2)),(1+6.585*((H14/H12)^2))))</f>
        <v/>
      </c>
      <c r="I17" s="35" t="str">
        <f>IF(I15="","",IF(I12/I14&lt;20,1+(6.585*(1+0.0752*$I$19+0.8109*($I$19^2))*((I14/I12)^2))-(0.868*((I14/I12)^4))-((8.34*(1+0.2023*$I$19+2.173*($I$19^2)))*(I14/I12)^4)/(1+6.338*(1+0.1408*$I$19+1.536*($I$19^2))*((I14/I12)^2)),(1+6.585*((I14/I12)^2))))</f>
        <v/>
      </c>
      <c r="J17" s="35" t="str">
        <f>IF(J15="","",IF(J12/J14&lt;20,1+(6.585*(1+0.0752*$J$19+0.8109*($J$19^2))*((J14/J12)^2))-(0.868*((J14/J12)^4))-((8.34*(1+0.2023*$J$19+2.173*($J$19^2)))*(J14/J12)^4)/(1+6.338*(1+0.1408*$J$19+1.536*($J$19^2))*((J14/J12)^2)),(1+6.585*((J14/J12)^2))))</f>
        <v/>
      </c>
      <c r="K17" s="36" t="str">
        <f>IF(K15="","",IF(K12/K14&lt;20,1+(6.585*(1+0.0752*$K$19+0.8109*($K$19^2))*((K14/K12)^2))-(0.868*((K14/K12)^4))-((8.34*(1+0.2023*$K$19+2.173*($K$19^2)))*(K14/K12)^4)/(1+6.338*(1+0.1408*$K$19+1.536*($K$19^2))*((K14/K12)^2)),(1+6.585*((K14/K12)^2))))</f>
        <v/>
      </c>
      <c r="L17" s="9"/>
    </row>
    <row r="18" spans="1:12" ht="18.75" thickBot="1" x14ac:dyDescent="0.4">
      <c r="A18" s="70" t="s">
        <v>46</v>
      </c>
      <c r="B18" s="155">
        <f>IF(B16="","",IF(B12/B13&lt;20,1+(6.585*(1+(0.0752*$B$19)+0.8109*($B$19^2))*((B13/B12)^2))-(0.868*((B13/B12)^4))-((8.34*(1+(0.2023*$B$19)+2.173*($B$19^2)))*((B13/B12)^4))/(1+6.338*(1+(0.1408*$B$19)+1.536*($B$19^2))*((B13/B12)^2)),(1+6.585*((B13/B12)^2))))</f>
        <v>1.0598806032077173</v>
      </c>
      <c r="C18" s="156">
        <f>IF(C16="","",IF(C12/C13&lt;20,1+(6.585*(1+(0.0752*$C$19)+0.8109*($C$19^2))*((C13/C12)^2))-(0.868*((C13/C12)^4))-((8.34*(1+(0.2023*$C$19)+2.173*($C$19^2)))*((C13/C12)^4))/(1+6.338*(1+(0.1408*$C$19)+1.536*($C$19^2))*((C13/C12)^2)),(1+6.585*((C13/C12)^2))))</f>
        <v>1.0598742751856418</v>
      </c>
      <c r="D18" s="156" t="str">
        <f>IF(D16="","",IF(D12/D13&lt;20,1+(6.585*(1+(0.0752*$D$19)+0.8109*($D$19^2))*((D13/D12)^2))-(0.868*((D13/D12)^4))-((8.34*(1+(0.2023*$D$19)+2.173*($D$19^2)))*((D13/D12)^4))/(1+6.338*(1+(0.1408*$D$19)+1.536*($D$19^2))*((D13/D12)^2)),(1+6.585*((D13/D12)^2))))</f>
        <v/>
      </c>
      <c r="E18" s="156" t="str">
        <f>IF(E16="","",IF(E12/E13&lt;20,1+(6.585*(1+(0.0752*$E$19)+0.8109*($E$19^2))*((E13/E12)^2))-(0.868*((E13/E12)^4))-((8.34*(1+(0.2023*$E$19)+2.173*($E$19^2)))*((E13/E12)^4))/(1+6.338*(1+(0.1408*$E$19)+1.536*($E$19^2))*((E13/E12)^2)),(1+6.585*((E13/E12)^2))))</f>
        <v/>
      </c>
      <c r="F18" s="156" t="str">
        <f>IF(F16="","",IF(F12/F13&lt;20,1+(6.585*(1+(0.0752*$F$19)+0.8109*($F$19^2))*((F13/F12)^2))-(0.868*((F13/F12)^4))-((8.34*(1+(0.2023*$F$19)+2.173*($F$19^2)))*((F13/F12)^4))/(1+6.338*(1+(0.1408*$F$19)+1.536*($F$19^2))*((F13/F12)^2)),(1+6.585*((F13/F12)^2))))</f>
        <v/>
      </c>
      <c r="G18" s="156" t="str">
        <f>IF(G16="","",IF(G12/G13&lt;20,1+(6.585*(1+(0.0752*$G$19)+0.8109*($G$19^2))*((G13/G12)^2))-(0.868*((G13/G12)^4))-((8.34*(1+(0.2023*$G$19)+2.173*($G$19^2)))*((G13/G12)^4))/(1+6.338*(1+(0.1408*$G$19)+1.536*($G$19^2))*((G13/G12)^2)),(1+6.585*((G13/G12)^2))))</f>
        <v/>
      </c>
      <c r="H18" s="156" t="str">
        <f>IF(H16="","",IF(H12/H13&lt;20,1+(6.585*(1+(0.0752*$H$19)+0.8109*($H$19^2))*((H13/H12)^2))-(0.868*((H13/H12)^4))-((8.34*(1+(0.2023*$H$19)+2.173*($H$19^2)))*((H13/H12)^4))/(1+6.338*(1+(0.1408*$H$19)+1.536*($H$19^2))*((H13/H12)^2)),(1+6.585*((H13/H12)^2))))</f>
        <v/>
      </c>
      <c r="I18" s="156" t="str">
        <f>IF(I16="","",IF(I12/I13&lt;20,1+(6.585*(1+(0.0752*$I$19)+0.8109*($I$19^2))*((I13/I12)^2))-(0.868*((I13/I12)^4))-((8.34*(1+(0.2023*$I$19)+2.173*($I$19^2)))*((I13/I12)^4))/(1+6.338*(1+(0.1408*$I$19)+1.536*($I$19^2))*((I13/I12)^2)),(1+6.585*((I13/I12)^2))))</f>
        <v/>
      </c>
      <c r="J18" s="156" t="str">
        <f>IF(J16="","",IF(J12/J13&lt;20,1+(6.585*(1+(0.0752*$J$19)+0.8109*($J$19^2))*((J13/J12)^2))-(0.868*((J13/J12)^4))-((8.34*(1+(0.2023*$J$19)+2.173*($J$19^2)))*((J13/J12)^4))/(1+6.338*(1+(0.1408*$J$19)+1.536*($J$19^2))*((J13/J12)^2)),(1+6.585*((J13/J12)^2))))</f>
        <v/>
      </c>
      <c r="K18" s="157" t="str">
        <f>IF(K16="","",IF(K12/K13&lt;20,1+(6.585*(1+(0.0752*$K$19)+0.8109*($K$19^2))*((K13/K12)^2))-(0.868*((K13/K12)^4))-((8.34*(1+(0.2023*$K$19)+2.173*($K$19^2)))*((K13/K12)^4))/(1+6.338*(1+(0.1408*$K$19)+1.536*($K$19^2))*((K13/K12)^2)),(1+6.585*((K13/K12)^2))))</f>
        <v/>
      </c>
      <c r="L18" s="9"/>
    </row>
    <row r="19" spans="1:12" ht="15.75" thickBot="1" x14ac:dyDescent="0.3">
      <c r="A19" s="70" t="s">
        <v>42</v>
      </c>
      <c r="B19" s="37">
        <v>0.3431137601817853</v>
      </c>
      <c r="C19" s="37">
        <v>0.34292372204047394</v>
      </c>
      <c r="D19" s="37"/>
      <c r="E19" s="37"/>
      <c r="F19" s="37"/>
      <c r="G19" s="37"/>
      <c r="H19" s="37"/>
      <c r="I19" s="37"/>
      <c r="J19" s="37"/>
      <c r="K19" s="158"/>
      <c r="L19" s="9"/>
    </row>
    <row r="20" spans="1:12" ht="15" x14ac:dyDescent="0.25">
      <c r="A20" s="71" t="s">
        <v>2</v>
      </c>
      <c r="B20" s="73">
        <f>IF(B15&gt;0,0.9465*(B11*(B15^2)/B13)*((B12/B14)^3)*B17*10^-9,"")</f>
        <v>212.20393711932454</v>
      </c>
      <c r="C20" s="74">
        <f t="shared" ref="C20:K20" si="3">IF(C15&gt;0,0.9465*(C11*(C15^2)/C13)*((C12/C14)^3)*C17*10^-9,"")</f>
        <v>212.24854190237068</v>
      </c>
      <c r="D20" s="74" t="str">
        <f t="shared" si="3"/>
        <v/>
      </c>
      <c r="E20" s="74" t="str">
        <f t="shared" si="3"/>
        <v/>
      </c>
      <c r="F20" s="74" t="str">
        <f t="shared" si="3"/>
        <v/>
      </c>
      <c r="G20" s="74" t="str">
        <f t="shared" si="3"/>
        <v/>
      </c>
      <c r="H20" s="74" t="str">
        <f t="shared" si="3"/>
        <v/>
      </c>
      <c r="I20" s="74" t="str">
        <f t="shared" si="3"/>
        <v/>
      </c>
      <c r="J20" s="74" t="str">
        <f t="shared" si="3"/>
        <v/>
      </c>
      <c r="K20" s="75" t="str">
        <f t="shared" si="3"/>
        <v/>
      </c>
      <c r="L20" s="10"/>
    </row>
    <row r="21" spans="1:12" ht="15" x14ac:dyDescent="0.25">
      <c r="A21" s="71" t="s">
        <v>3</v>
      </c>
      <c r="B21" s="76">
        <f t="shared" ref="B21:K21" si="4">IF(B16&gt;0,0.9465*(B11*(B16^2)/B14)*((B12/B13)^3)*B18*10^-9,"")</f>
        <v>212.27666480528976</v>
      </c>
      <c r="C21" s="77">
        <f t="shared" si="4"/>
        <v>212.50413455126414</v>
      </c>
      <c r="D21" s="77" t="str">
        <f t="shared" si="4"/>
        <v/>
      </c>
      <c r="E21" s="77" t="str">
        <f t="shared" si="4"/>
        <v/>
      </c>
      <c r="F21" s="77" t="str">
        <f t="shared" si="4"/>
        <v/>
      </c>
      <c r="G21" s="77" t="str">
        <f t="shared" si="4"/>
        <v/>
      </c>
      <c r="H21" s="77" t="str">
        <f t="shared" si="4"/>
        <v/>
      </c>
      <c r="I21" s="77" t="str">
        <f t="shared" si="4"/>
        <v/>
      </c>
      <c r="J21" s="77" t="str">
        <f t="shared" si="4"/>
        <v/>
      </c>
      <c r="K21" s="78" t="str">
        <f t="shared" si="4"/>
        <v/>
      </c>
      <c r="L21" s="10"/>
    </row>
    <row r="22" spans="1:12" ht="27.75" customHeight="1" thickBot="1" x14ac:dyDescent="0.3">
      <c r="A22" s="72" t="s">
        <v>5</v>
      </c>
      <c r="B22" s="38">
        <f>IF((B15+B16)&gt;0,AVERAGE(B20:B21),"")</f>
        <v>212.24030096230715</v>
      </c>
      <c r="C22" s="39">
        <f t="shared" ref="C22:K22" si="5">IF((C15+C16)&gt;0,AVERAGE(C20:C21),"")</f>
        <v>212.37633822681741</v>
      </c>
      <c r="D22" s="39" t="str">
        <f t="shared" si="5"/>
        <v/>
      </c>
      <c r="E22" s="39" t="str">
        <f t="shared" si="5"/>
        <v/>
      </c>
      <c r="F22" s="39" t="str">
        <f t="shared" si="5"/>
        <v/>
      </c>
      <c r="G22" s="39" t="str">
        <f t="shared" si="5"/>
        <v/>
      </c>
      <c r="H22" s="39" t="str">
        <f t="shared" si="5"/>
        <v/>
      </c>
      <c r="I22" s="39" t="str">
        <f t="shared" si="5"/>
        <v/>
      </c>
      <c r="J22" s="39" t="str">
        <f t="shared" si="5"/>
        <v/>
      </c>
      <c r="K22" s="40" t="str">
        <f t="shared" si="5"/>
        <v/>
      </c>
      <c r="L22" s="10"/>
    </row>
    <row r="23" spans="1:12" ht="15.75" thickBot="1" x14ac:dyDescent="0.3">
      <c r="A23" s="41" t="s">
        <v>29</v>
      </c>
      <c r="B23" s="42" t="s">
        <v>30</v>
      </c>
      <c r="C23" s="43" t="s">
        <v>31</v>
      </c>
      <c r="D23" s="43" t="s">
        <v>32</v>
      </c>
      <c r="E23" s="43" t="s">
        <v>33</v>
      </c>
      <c r="F23" s="43" t="s">
        <v>34</v>
      </c>
      <c r="G23" s="43" t="s">
        <v>35</v>
      </c>
      <c r="H23" s="43" t="s">
        <v>36</v>
      </c>
      <c r="I23" s="43" t="s">
        <v>37</v>
      </c>
      <c r="J23" s="43" t="s">
        <v>38</v>
      </c>
      <c r="K23" s="44" t="s">
        <v>39</v>
      </c>
      <c r="L23" s="10"/>
    </row>
    <row r="24" spans="1:12" ht="15.75" thickBot="1" x14ac:dyDescent="0.3">
      <c r="A24" s="41" t="s">
        <v>41</v>
      </c>
      <c r="B24" s="45" t="s">
        <v>92</v>
      </c>
      <c r="C24" s="46" t="s">
        <v>93</v>
      </c>
      <c r="D24" s="46"/>
      <c r="E24" s="46"/>
      <c r="F24" s="46"/>
      <c r="G24" s="46"/>
      <c r="H24" s="46"/>
      <c r="I24" s="46"/>
      <c r="J24" s="46"/>
      <c r="K24" s="47"/>
      <c r="L24" s="10"/>
    </row>
    <row r="25" spans="1:12" ht="8.1" customHeight="1" thickBot="1" x14ac:dyDescent="0.3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10"/>
    </row>
    <row r="26" spans="1:12" ht="15" x14ac:dyDescent="0.25">
      <c r="A26" s="50" t="s">
        <v>40</v>
      </c>
      <c r="B26" s="51"/>
      <c r="C26" s="52"/>
      <c r="D26" s="52"/>
      <c r="E26" s="52"/>
      <c r="F26" s="52"/>
      <c r="G26" s="52"/>
      <c r="H26" s="52"/>
      <c r="I26" s="52"/>
      <c r="J26" s="52"/>
      <c r="K26" s="53"/>
    </row>
    <row r="27" spans="1:12" ht="15" x14ac:dyDescent="0.25">
      <c r="A27" s="54"/>
      <c r="B27" s="79"/>
      <c r="C27" s="80"/>
      <c r="D27" s="80"/>
      <c r="E27" s="80"/>
      <c r="F27" s="80"/>
      <c r="G27" s="80"/>
      <c r="H27" s="80"/>
      <c r="I27" s="80"/>
      <c r="J27" s="80"/>
      <c r="K27" s="81"/>
    </row>
    <row r="28" spans="1:12" ht="15.75" thickBot="1" x14ac:dyDescent="0.3">
      <c r="A28" s="58"/>
      <c r="B28" s="59"/>
      <c r="C28" s="60"/>
      <c r="D28" s="60"/>
      <c r="E28" s="60"/>
      <c r="F28" s="60"/>
      <c r="G28" s="60"/>
      <c r="H28" s="60"/>
      <c r="I28" s="60"/>
      <c r="J28" s="60"/>
      <c r="K28" s="61"/>
    </row>
    <row r="29" spans="1:12" ht="22.35" customHeight="1" x14ac:dyDescent="0.25">
      <c r="A29" s="66" t="s">
        <v>8</v>
      </c>
      <c r="B29" s="67"/>
      <c r="C29" s="68"/>
      <c r="D29" s="68"/>
      <c r="E29" s="68"/>
      <c r="F29" s="68"/>
      <c r="G29" s="68" t="s">
        <v>8</v>
      </c>
      <c r="H29" s="67"/>
      <c r="I29" s="68"/>
      <c r="J29" s="68"/>
      <c r="K29" s="18"/>
    </row>
    <row r="30" spans="1:12" ht="22.35" customHeight="1" x14ac:dyDescent="0.25">
      <c r="A30" s="68" t="s">
        <v>26</v>
      </c>
      <c r="B30" s="67"/>
      <c r="C30" s="68"/>
      <c r="D30" s="68"/>
      <c r="E30" s="68"/>
      <c r="F30" s="68"/>
      <c r="G30" s="68" t="s">
        <v>7</v>
      </c>
      <c r="H30" s="67"/>
      <c r="I30" s="68"/>
      <c r="J30" s="68"/>
      <c r="K30" s="18"/>
    </row>
    <row r="50" spans="15:15" ht="15" hidden="1" x14ac:dyDescent="0.25">
      <c r="O50" s="11"/>
    </row>
  </sheetData>
  <sheetProtection algorithmName="SHA-512" hashValue="9nk1aC/d976T6EdaLihA9SNxhF7SV0owGnIDoA2OBjGFhCiPM7D5OdkTZ25zFIIe82V3zxwvzOFVDGEr45uxqw==" saltValue="LBtwZiHHS5VGavtBiwWJCw==" spinCount="100000" sheet="1" objects="1" scenarios="1"/>
  <mergeCells count="6">
    <mergeCell ref="B8:K8"/>
    <mergeCell ref="A3:D3"/>
    <mergeCell ref="B4:G4"/>
    <mergeCell ref="B5:G5"/>
    <mergeCell ref="B6:G6"/>
    <mergeCell ref="A8:A9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ignoredErrors>
    <ignoredError sqref="B23:K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L30"/>
  <sheetViews>
    <sheetView showZeros="0" zoomScaleNormal="100" zoomScaleSheetLayoutView="115" workbookViewId="0">
      <selection activeCell="C21" sqref="C21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6384" width="14.28515625" style="1" hidden="1"/>
  </cols>
  <sheetData>
    <row r="1" spans="1:11" s="3" customFormat="1" ht="15.75" x14ac:dyDescent="0.25">
      <c r="A1" s="62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4" customFormat="1" ht="12.75" x14ac:dyDescent="0.2">
      <c r="A2" s="63" t="s">
        <v>12</v>
      </c>
      <c r="B2" s="63"/>
      <c r="C2" s="63"/>
      <c r="D2" s="63"/>
      <c r="E2" s="63"/>
      <c r="F2" s="65"/>
      <c r="G2" s="65"/>
      <c r="H2" s="65"/>
      <c r="I2" s="65"/>
      <c r="J2" s="65"/>
      <c r="K2" s="65"/>
    </row>
    <row r="3" spans="1:11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8"/>
      <c r="J3" s="18"/>
      <c r="K3" s="18"/>
    </row>
    <row r="4" spans="1:11" ht="15" x14ac:dyDescent="0.25">
      <c r="A4" s="18" t="s">
        <v>17</v>
      </c>
      <c r="B4" s="300" t="str">
        <f>'E-Modul_rechteck'!B4:G4</f>
        <v>5.22/430</v>
      </c>
      <c r="C4" s="301"/>
      <c r="D4" s="301"/>
      <c r="E4" s="301"/>
      <c r="F4" s="301"/>
      <c r="G4" s="302"/>
      <c r="H4" s="18"/>
      <c r="I4" s="18"/>
      <c r="J4" s="18"/>
      <c r="K4" s="18"/>
    </row>
    <row r="5" spans="1:11" ht="15" x14ac:dyDescent="0.25">
      <c r="A5" s="18" t="s">
        <v>6</v>
      </c>
      <c r="B5" s="303" t="str">
        <f>'E-Modul_rechteck'!B5:G5</f>
        <v>S355J2 + N</v>
      </c>
      <c r="C5" s="304"/>
      <c r="D5" s="304"/>
      <c r="E5" s="304"/>
      <c r="F5" s="304"/>
      <c r="G5" s="305"/>
      <c r="H5" s="18"/>
      <c r="I5" s="18"/>
      <c r="J5" s="18"/>
      <c r="K5" s="18"/>
    </row>
    <row r="6" spans="1:11" ht="15.75" thickBot="1" x14ac:dyDescent="0.3">
      <c r="A6" s="18" t="s">
        <v>22</v>
      </c>
      <c r="B6" s="306" t="str">
        <f>'E-Modul_rechteck'!B6:G6</f>
        <v>ERX2</v>
      </c>
      <c r="C6" s="307"/>
      <c r="D6" s="307"/>
      <c r="E6" s="307"/>
      <c r="F6" s="307"/>
      <c r="G6" s="308"/>
      <c r="H6" s="18"/>
      <c r="I6" s="18"/>
      <c r="J6" s="18"/>
      <c r="K6" s="18"/>
    </row>
    <row r="7" spans="1:11" ht="8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10" t="s">
        <v>0</v>
      </c>
      <c r="B8" s="309" t="s">
        <v>1</v>
      </c>
      <c r="C8" s="310"/>
      <c r="D8" s="310"/>
      <c r="E8" s="310"/>
      <c r="F8" s="310"/>
      <c r="G8" s="310"/>
      <c r="H8" s="310"/>
      <c r="I8" s="310"/>
      <c r="J8" s="310"/>
      <c r="K8" s="311"/>
    </row>
    <row r="9" spans="1:11" ht="15.75" thickBot="1" x14ac:dyDescent="0.3">
      <c r="A9" s="111"/>
      <c r="B9" s="112">
        <v>24</v>
      </c>
      <c r="C9" s="113">
        <f>IF('E-Modul_rechteck'!C9="","",'E-Modul_rechteck'!C9)</f>
        <v>24</v>
      </c>
      <c r="D9" s="113" t="str">
        <f>IF('E-Modul_rechteck'!D9="","",'E-Modul_rechteck'!D9)</f>
        <v/>
      </c>
      <c r="E9" s="113" t="str">
        <f>IF('E-Modul_rechteck'!E9="","",'E-Modul_rechteck'!E9)</f>
        <v/>
      </c>
      <c r="F9" s="113" t="str">
        <f>IF('E-Modul_rechteck'!F9="","",'E-Modul_rechteck'!F9)</f>
        <v/>
      </c>
      <c r="G9" s="113" t="str">
        <f>IF('E-Modul_rechteck'!G9="","",'E-Modul_rechteck'!G9)</f>
        <v/>
      </c>
      <c r="H9" s="113" t="str">
        <f>IF('E-Modul_rechteck'!H9="","",'E-Modul_rechteck'!H9)</f>
        <v/>
      </c>
      <c r="I9" s="113" t="str">
        <f>IF('E-Modul_rechteck'!I9="","",'E-Modul_rechteck'!I9)</f>
        <v/>
      </c>
      <c r="J9" s="113" t="str">
        <f>IF('E-Modul_rechteck'!J9="","",'E-Modul_rechteck'!J9)</f>
        <v/>
      </c>
      <c r="K9" s="114" t="str">
        <f>IF('E-Modul_rechteck'!K9="","",'E-Modul_rechteck'!K9)</f>
        <v/>
      </c>
    </row>
    <row r="10" spans="1:11" s="18" customFormat="1" ht="15.75" thickBot="1" x14ac:dyDescent="0.3">
      <c r="A10" s="82" t="s">
        <v>4</v>
      </c>
      <c r="B10" s="83"/>
      <c r="C10" s="84">
        <f>'E-Modul_rechteck'!C10</f>
        <v>0</v>
      </c>
      <c r="D10" s="84">
        <f>'E-Modul_rechteck'!D10</f>
        <v>0</v>
      </c>
      <c r="E10" s="84">
        <f>'E-Modul_rechteck'!E10</f>
        <v>0</v>
      </c>
      <c r="F10" s="84">
        <f>'E-Modul_rechteck'!F10</f>
        <v>0</v>
      </c>
      <c r="G10" s="84">
        <f>'E-Modul_rechteck'!G10</f>
        <v>0</v>
      </c>
      <c r="H10" s="84">
        <f>'E-Modul_rechteck'!H10</f>
        <v>0</v>
      </c>
      <c r="I10" s="84">
        <f>'E-Modul_rechteck'!I10</f>
        <v>0</v>
      </c>
      <c r="J10" s="84">
        <f>'E-Modul_rechteck'!J10</f>
        <v>0</v>
      </c>
      <c r="K10" s="85">
        <f>'E-Modul_rechteck'!K10</f>
        <v>0</v>
      </c>
    </row>
    <row r="11" spans="1:11" s="18" customFormat="1" ht="15" x14ac:dyDescent="0.25">
      <c r="A11" s="121" t="s">
        <v>13</v>
      </c>
      <c r="B11" s="164">
        <f>'E-Modul_rechteck'!B11</f>
        <v>21.361999999999998</v>
      </c>
      <c r="C11" s="165">
        <f>'E-Modul_rechteck'!C11</f>
        <v>21.361999999999998</v>
      </c>
      <c r="D11" s="165" t="str">
        <f>'E-Modul_rechteck'!D11</f>
        <v/>
      </c>
      <c r="E11" s="165" t="str">
        <f>'E-Modul_rechteck'!E11</f>
        <v/>
      </c>
      <c r="F11" s="165" t="str">
        <f>'E-Modul_rechteck'!F11</f>
        <v/>
      </c>
      <c r="G11" s="165" t="str">
        <f>'E-Modul_rechteck'!G11</f>
        <v/>
      </c>
      <c r="H11" s="165" t="str">
        <f>'E-Modul_rechteck'!H11</f>
        <v/>
      </c>
      <c r="I11" s="165" t="str">
        <f>'E-Modul_rechteck'!I11</f>
        <v/>
      </c>
      <c r="J11" s="165" t="str">
        <f>'E-Modul_rechteck'!J11</f>
        <v/>
      </c>
      <c r="K11" s="166" t="str">
        <f>'E-Modul_rechteck'!K11</f>
        <v/>
      </c>
    </row>
    <row r="12" spans="1:11" s="18" customFormat="1" ht="15" x14ac:dyDescent="0.25">
      <c r="A12" s="121" t="s">
        <v>14</v>
      </c>
      <c r="B12" s="86">
        <f>'E-Modul_rechteck'!B12</f>
        <v>100.05</v>
      </c>
      <c r="C12" s="27">
        <f>'E-Modul_rechteck'!C12</f>
        <v>100.05</v>
      </c>
      <c r="D12" s="27" t="str">
        <f>'E-Modul_rechteck'!D12</f>
        <v/>
      </c>
      <c r="E12" s="27" t="str">
        <f>'E-Modul_rechteck'!E12</f>
        <v/>
      </c>
      <c r="F12" s="27" t="str">
        <f>'E-Modul_rechteck'!F12</f>
        <v/>
      </c>
      <c r="G12" s="27" t="str">
        <f>'E-Modul_rechteck'!G12</f>
        <v/>
      </c>
      <c r="H12" s="27" t="str">
        <f>'E-Modul_rechteck'!H12</f>
        <v/>
      </c>
      <c r="I12" s="27" t="str">
        <f>'E-Modul_rechteck'!I12</f>
        <v/>
      </c>
      <c r="J12" s="27" t="str">
        <f>'E-Modul_rechteck'!J12</f>
        <v/>
      </c>
      <c r="K12" s="28" t="str">
        <f>'E-Modul_rechteck'!K12</f>
        <v/>
      </c>
    </row>
    <row r="13" spans="1:11" s="18" customFormat="1" ht="15" x14ac:dyDescent="0.25">
      <c r="A13" s="121" t="s">
        <v>15</v>
      </c>
      <c r="B13" s="87">
        <f>'E-Modul_rechteck'!B13</f>
        <v>9.0670000000000002</v>
      </c>
      <c r="C13" s="30">
        <f>'E-Modul_rechteck'!C13</f>
        <v>9.0670000000000002</v>
      </c>
      <c r="D13" s="30" t="str">
        <f>'E-Modul_rechteck'!D13</f>
        <v/>
      </c>
      <c r="E13" s="30" t="str">
        <f>'E-Modul_rechteck'!E13</f>
        <v/>
      </c>
      <c r="F13" s="30" t="str">
        <f>'E-Modul_rechteck'!F13</f>
        <v/>
      </c>
      <c r="G13" s="30" t="str">
        <f>'E-Modul_rechteck'!G13</f>
        <v/>
      </c>
      <c r="H13" s="30" t="str">
        <f>'E-Modul_rechteck'!H13</f>
        <v/>
      </c>
      <c r="I13" s="30" t="str">
        <f>'E-Modul_rechteck'!I13</f>
        <v/>
      </c>
      <c r="J13" s="30" t="str">
        <f>'E-Modul_rechteck'!J13</f>
        <v/>
      </c>
      <c r="K13" s="31" t="str">
        <f>'E-Modul_rechteck'!K13</f>
        <v/>
      </c>
    </row>
    <row r="14" spans="1:11" s="18" customFormat="1" ht="15" x14ac:dyDescent="0.25">
      <c r="A14" s="121" t="s">
        <v>18</v>
      </c>
      <c r="B14" s="159">
        <f>'E-Modul_rechteck'!B14</f>
        <v>3.0019999999999998</v>
      </c>
      <c r="C14" s="160">
        <f>'E-Modul_rechteck'!C14</f>
        <v>3.0019999999999998</v>
      </c>
      <c r="D14" s="160" t="str">
        <f>'E-Modul_rechteck'!D14</f>
        <v/>
      </c>
      <c r="E14" s="160" t="str">
        <f>'E-Modul_rechteck'!E14</f>
        <v/>
      </c>
      <c r="F14" s="160" t="str">
        <f>'E-Modul_rechteck'!F14</f>
        <v/>
      </c>
      <c r="G14" s="160" t="str">
        <f>'E-Modul_rechteck'!G14</f>
        <v/>
      </c>
      <c r="H14" s="160" t="str">
        <f>'E-Modul_rechteck'!H14</f>
        <v/>
      </c>
      <c r="I14" s="160" t="str">
        <f>'E-Modul_rechteck'!I14</f>
        <v/>
      </c>
      <c r="J14" s="160" t="str">
        <f>'E-Modul_rechteck'!J14</f>
        <v/>
      </c>
      <c r="K14" s="167" t="str">
        <f>'E-Modul_rechteck'!K14</f>
        <v/>
      </c>
    </row>
    <row r="15" spans="1:11" s="18" customFormat="1" ht="18" x14ac:dyDescent="0.35">
      <c r="A15" s="121" t="s">
        <v>47</v>
      </c>
      <c r="B15" s="271">
        <v>8899.4459999999999</v>
      </c>
      <c r="C15" s="195">
        <v>8901.0110000000004</v>
      </c>
      <c r="D15" s="195"/>
      <c r="E15" s="195"/>
      <c r="F15" s="195"/>
      <c r="G15" s="195"/>
      <c r="H15" s="195"/>
      <c r="I15" s="195"/>
      <c r="J15" s="195"/>
      <c r="K15" s="196"/>
    </row>
    <row r="16" spans="1:11" s="18" customFormat="1" ht="15" x14ac:dyDescent="0.25">
      <c r="A16" s="121" t="s">
        <v>19</v>
      </c>
      <c r="B16" s="161">
        <f>IF(B15&gt;0,((B13/B14)+(B14/B13))/(4*(B14/B13)-2.52*((B14/B13)^2)+0.21*((B14/B13)^6)),"")</f>
        <v>3.1967073676102302</v>
      </c>
      <c r="C16" s="162">
        <f t="shared" ref="C16:K16" si="0">IF(C15&gt;0,((C13/C14)+(C14/C13))/(4*(C14/C13)-2.52*((C14/C13)^2)+0.21*((C14/C13)^6)),"")</f>
        <v>3.1967073676102302</v>
      </c>
      <c r="D16" s="162" t="str">
        <f t="shared" si="0"/>
        <v/>
      </c>
      <c r="E16" s="162" t="str">
        <f t="shared" si="0"/>
        <v/>
      </c>
      <c r="F16" s="162" t="str">
        <f t="shared" si="0"/>
        <v/>
      </c>
      <c r="G16" s="162" t="str">
        <f t="shared" si="0"/>
        <v/>
      </c>
      <c r="H16" s="162" t="str">
        <f t="shared" si="0"/>
        <v/>
      </c>
      <c r="I16" s="162" t="str">
        <f t="shared" si="0"/>
        <v/>
      </c>
      <c r="J16" s="162" t="str">
        <f t="shared" si="0"/>
        <v/>
      </c>
      <c r="K16" s="163" t="str">
        <f t="shared" si="0"/>
        <v/>
      </c>
    </row>
    <row r="17" spans="1:11" s="18" customFormat="1" ht="15.75" thickBot="1" x14ac:dyDescent="0.3">
      <c r="A17" s="121" t="s">
        <v>20</v>
      </c>
      <c r="B17" s="155">
        <f>IF(B15&gt;0,(0.5062-(0.8776*(B13/B14))+(0.3504*((B13/B14)^2))-(0.0078*((B13/B14)^3)))/(12.03*(B13/B14)+(9.892*((B13/B14)^2))),"")</f>
        <v>6.6137874770248973E-3</v>
      </c>
      <c r="C17" s="156">
        <f t="shared" ref="C17:K17" si="1">IF(C15&gt;0,(0.5062-(0.8776*(C13/C14))+(0.3504*((C13/C14)^2))-(0.0078*((C13/C14)^3)))/(12.03*(C13/C14)+(9.892*((C13/C14)^2))),"")</f>
        <v>6.6137874770248973E-3</v>
      </c>
      <c r="D17" s="156" t="str">
        <f t="shared" si="1"/>
        <v/>
      </c>
      <c r="E17" s="156" t="str">
        <f t="shared" si="1"/>
        <v/>
      </c>
      <c r="F17" s="156" t="str">
        <f t="shared" si="1"/>
        <v/>
      </c>
      <c r="G17" s="156" t="str">
        <f t="shared" si="1"/>
        <v/>
      </c>
      <c r="H17" s="156" t="str">
        <f t="shared" si="1"/>
        <v/>
      </c>
      <c r="I17" s="156" t="str">
        <f t="shared" si="1"/>
        <v/>
      </c>
      <c r="J17" s="156" t="str">
        <f t="shared" si="1"/>
        <v/>
      </c>
      <c r="K17" s="157" t="str">
        <f t="shared" si="1"/>
        <v/>
      </c>
    </row>
    <row r="18" spans="1:11" s="18" customFormat="1" ht="30.2" customHeight="1" thickBot="1" x14ac:dyDescent="0.3">
      <c r="A18" s="88" t="s">
        <v>24</v>
      </c>
      <c r="B18" s="89">
        <f t="shared" ref="B18:K18" si="2">IF(B$15="","",((4*B12*B11*(B15^2)/(B13*B14))*(B16/(1+B17))/10^9))</f>
        <v>78.997008075698503</v>
      </c>
      <c r="C18" s="90">
        <f t="shared" si="2"/>
        <v>79.024794341958085</v>
      </c>
      <c r="D18" s="90" t="str">
        <f t="shared" si="2"/>
        <v/>
      </c>
      <c r="E18" s="90" t="str">
        <f t="shared" si="2"/>
        <v/>
      </c>
      <c r="F18" s="90" t="str">
        <f t="shared" si="2"/>
        <v/>
      </c>
      <c r="G18" s="90" t="str">
        <f t="shared" si="2"/>
        <v/>
      </c>
      <c r="H18" s="90" t="str">
        <f t="shared" si="2"/>
        <v/>
      </c>
      <c r="I18" s="90" t="str">
        <f t="shared" si="2"/>
        <v/>
      </c>
      <c r="J18" s="90" t="str">
        <f t="shared" si="2"/>
        <v/>
      </c>
      <c r="K18" s="91" t="str">
        <f t="shared" si="2"/>
        <v/>
      </c>
    </row>
    <row r="19" spans="1:11" s="18" customFormat="1" ht="8.1" customHeight="1" thickBot="1" x14ac:dyDescent="0.3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</row>
    <row r="20" spans="1:11" s="18" customFormat="1" ht="15.75" thickBot="1" x14ac:dyDescent="0.3">
      <c r="A20" s="94" t="s">
        <v>2</v>
      </c>
      <c r="B20" s="95">
        <f>'E-Modul_rechteck'!B20</f>
        <v>212.20393711932454</v>
      </c>
      <c r="C20" s="95">
        <f>'E-Modul_rechteck'!C20</f>
        <v>212.24854190237068</v>
      </c>
      <c r="D20" s="95" t="str">
        <f>'E-Modul_rechteck'!D20</f>
        <v/>
      </c>
      <c r="E20" s="95" t="str">
        <f>'E-Modul_rechteck'!E20</f>
        <v/>
      </c>
      <c r="F20" s="95" t="str">
        <f>'E-Modul_rechteck'!F20</f>
        <v/>
      </c>
      <c r="G20" s="95" t="str">
        <f>'E-Modul_rechteck'!G20</f>
        <v/>
      </c>
      <c r="H20" s="95" t="str">
        <f>'E-Modul_rechteck'!H20</f>
        <v/>
      </c>
      <c r="I20" s="95" t="str">
        <f>'E-Modul_rechteck'!I20</f>
        <v/>
      </c>
      <c r="J20" s="95" t="str">
        <f>'E-Modul_rechteck'!J20</f>
        <v/>
      </c>
      <c r="K20" s="96" t="str">
        <f>'E-Modul_rechteck'!K20</f>
        <v/>
      </c>
    </row>
    <row r="21" spans="1:11" s="18" customFormat="1" ht="31.7" customHeight="1" thickBot="1" x14ac:dyDescent="0.3">
      <c r="A21" s="97" t="s">
        <v>42</v>
      </c>
      <c r="B21" s="98">
        <f>IF(B20="","",(B20/(2*B18))-1)</f>
        <v>0.3431137601817853</v>
      </c>
      <c r="C21" s="99">
        <f t="shared" ref="C21:K21" si="3">IF(C20="","",(C20/(2*C18))-1)</f>
        <v>0.34292372204047394</v>
      </c>
      <c r="D21" s="99" t="str">
        <f t="shared" si="3"/>
        <v/>
      </c>
      <c r="E21" s="99" t="str">
        <f t="shared" si="3"/>
        <v/>
      </c>
      <c r="F21" s="99" t="str">
        <f t="shared" si="3"/>
        <v/>
      </c>
      <c r="G21" s="99" t="str">
        <f t="shared" si="3"/>
        <v/>
      </c>
      <c r="H21" s="99" t="str">
        <f t="shared" si="3"/>
        <v/>
      </c>
      <c r="I21" s="99" t="str">
        <f t="shared" si="3"/>
        <v/>
      </c>
      <c r="J21" s="99" t="str">
        <f t="shared" si="3"/>
        <v/>
      </c>
      <c r="K21" s="100" t="str">
        <f t="shared" si="3"/>
        <v/>
      </c>
    </row>
    <row r="22" spans="1:11" s="18" customFormat="1" ht="15.75" thickBot="1" x14ac:dyDescent="0.3">
      <c r="A22" s="101" t="s">
        <v>29</v>
      </c>
      <c r="B22" s="102" t="s">
        <v>30</v>
      </c>
      <c r="C22" s="103" t="s">
        <v>31</v>
      </c>
      <c r="D22" s="103" t="s">
        <v>32</v>
      </c>
      <c r="E22" s="103" t="s">
        <v>33</v>
      </c>
      <c r="F22" s="103" t="s">
        <v>34</v>
      </c>
      <c r="G22" s="103" t="s">
        <v>35</v>
      </c>
      <c r="H22" s="103" t="s">
        <v>36</v>
      </c>
      <c r="I22" s="103" t="s">
        <v>37</v>
      </c>
      <c r="J22" s="103" t="s">
        <v>38</v>
      </c>
      <c r="K22" s="104" t="s">
        <v>39</v>
      </c>
    </row>
    <row r="23" spans="1:11" s="18" customFormat="1" ht="15.75" thickBot="1" x14ac:dyDescent="0.3">
      <c r="A23" s="101" t="s">
        <v>41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7"/>
    </row>
    <row r="24" spans="1:11" s="18" customFormat="1" ht="8.1" customHeight="1" thickBot="1" x14ac:dyDescent="0.3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1:11" s="18" customFormat="1" ht="15" x14ac:dyDescent="0.25">
      <c r="A25" s="50" t="s">
        <v>40</v>
      </c>
      <c r="B25" s="51"/>
      <c r="C25" s="52"/>
      <c r="D25" s="52"/>
      <c r="E25" s="52"/>
      <c r="F25" s="52"/>
      <c r="G25" s="52"/>
      <c r="H25" s="52"/>
      <c r="I25" s="52"/>
      <c r="J25" s="52"/>
      <c r="K25" s="53"/>
    </row>
    <row r="26" spans="1:11" s="18" customFormat="1" ht="15" x14ac:dyDescent="0.25">
      <c r="A26" s="54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5.75" thickBot="1" x14ac:dyDescent="0.3">
      <c r="A27" s="58"/>
      <c r="B27" s="59"/>
      <c r="C27" s="60"/>
      <c r="D27" s="60"/>
      <c r="E27" s="60"/>
      <c r="F27" s="60"/>
      <c r="G27" s="60"/>
      <c r="H27" s="60"/>
      <c r="I27" s="60"/>
      <c r="J27" s="60"/>
      <c r="K27" s="61"/>
    </row>
    <row r="28" spans="1:11" ht="22.35" customHeight="1" x14ac:dyDescent="0.25">
      <c r="A28" s="66" t="s">
        <v>8</v>
      </c>
      <c r="B28" s="67"/>
      <c r="C28" s="68"/>
      <c r="D28" s="68"/>
      <c r="E28" s="68"/>
      <c r="F28" s="68"/>
      <c r="G28" s="68" t="s">
        <v>8</v>
      </c>
      <c r="H28" s="67"/>
      <c r="I28" s="68"/>
      <c r="J28" s="68"/>
      <c r="K28" s="18"/>
    </row>
    <row r="29" spans="1:11" ht="22.35" customHeight="1" x14ac:dyDescent="0.25">
      <c r="A29" s="68" t="s">
        <v>27</v>
      </c>
      <c r="B29" s="67"/>
      <c r="C29" s="68"/>
      <c r="D29" s="68"/>
      <c r="E29" s="68"/>
      <c r="F29" s="68"/>
      <c r="G29" s="68" t="s">
        <v>7</v>
      </c>
      <c r="H29" s="67"/>
      <c r="I29" s="68"/>
      <c r="J29" s="68"/>
      <c r="K29" s="18"/>
    </row>
    <row r="30" spans="1:11" ht="15" hidden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</sheetData>
  <sheetProtection algorithmName="SHA-512" hashValue="OQF+aA2xdudAk/Q0lOj42ozG1jrRwy/ilCnIFdGurxMEBDe5Pnv3qhRVeq54H/W4/I0NvHV8yX7m/6d2Md9UdA==" saltValue="OqCQ+XQ86VU+eZMLKcZQQA==" spinCount="100000" sheet="1" objects="1" scenarios="1"/>
  <mergeCells count="5">
    <mergeCell ref="B4:G4"/>
    <mergeCell ref="B5:G5"/>
    <mergeCell ref="B6:G6"/>
    <mergeCell ref="B8:K8"/>
    <mergeCell ref="A3:D3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rowBreaks count="1" manualBreakCount="1">
    <brk id="29" max="10" man="1"/>
  </rowBreaks>
  <ignoredErrors>
    <ignoredError sqref="C22:K22" numberStoredAsText="1"/>
    <ignoredError sqref="B5:G6 C4:G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O46"/>
  <sheetViews>
    <sheetView zoomScaleNormal="100" workbookViewId="0">
      <selection activeCell="B14" sqref="B14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5" width="0" style="1" hidden="1" customWidth="1"/>
    <col min="16" max="16384" width="4.5703125" style="1" hidden="1"/>
  </cols>
  <sheetData>
    <row r="1" spans="1:12" s="3" customFormat="1" ht="15.75" x14ac:dyDescent="0.25">
      <c r="A1" s="62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s="4" customFormat="1" ht="12.75" x14ac:dyDescent="0.2">
      <c r="A2" s="63" t="s">
        <v>10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9"/>
      <c r="J3" s="115"/>
      <c r="K3" s="18"/>
    </row>
    <row r="4" spans="1:12" ht="15" x14ac:dyDescent="0.25">
      <c r="A4" s="18" t="s">
        <v>17</v>
      </c>
      <c r="B4" s="289" t="str">
        <f>IF(Probendimensionen!B3="","",Probendimensionen!B3)</f>
        <v>5.22/430</v>
      </c>
      <c r="C4" s="290"/>
      <c r="D4" s="290"/>
      <c r="E4" s="290"/>
      <c r="F4" s="290"/>
      <c r="G4" s="291"/>
      <c r="H4" s="18"/>
      <c r="I4" s="18"/>
      <c r="J4" s="18"/>
      <c r="K4" s="18"/>
    </row>
    <row r="5" spans="1:12" ht="15" x14ac:dyDescent="0.25">
      <c r="A5" s="18" t="s">
        <v>6</v>
      </c>
      <c r="B5" s="292" t="str">
        <f>IF(Probendimensionen!B4="","",Probendimensionen!B4)</f>
        <v>S355J2 + N</v>
      </c>
      <c r="C5" s="293"/>
      <c r="D5" s="293"/>
      <c r="E5" s="293"/>
      <c r="F5" s="293"/>
      <c r="G5" s="294"/>
      <c r="H5" s="18"/>
      <c r="I5" s="18"/>
      <c r="J5" s="18"/>
      <c r="K5" s="18"/>
    </row>
    <row r="6" spans="1:12" ht="15.75" thickBot="1" x14ac:dyDescent="0.3">
      <c r="A6" s="18" t="s">
        <v>22</v>
      </c>
      <c r="B6" s="295" t="str">
        <f>IF(Probendimensionen!B7="","",Probendimensionen!B7)</f>
        <v>ERX2</v>
      </c>
      <c r="C6" s="296"/>
      <c r="D6" s="296"/>
      <c r="E6" s="296"/>
      <c r="F6" s="296"/>
      <c r="G6" s="297"/>
      <c r="H6" s="18"/>
      <c r="I6" s="18"/>
      <c r="J6" s="18"/>
      <c r="K6" s="18"/>
    </row>
    <row r="7" spans="1:12" ht="15.75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2" ht="15" x14ac:dyDescent="0.25">
      <c r="A8" s="116" t="s">
        <v>0</v>
      </c>
      <c r="B8" s="285" t="s">
        <v>1</v>
      </c>
      <c r="C8" s="286"/>
      <c r="D8" s="286"/>
      <c r="E8" s="286"/>
      <c r="F8" s="286"/>
      <c r="G8" s="286"/>
      <c r="H8" s="286"/>
      <c r="I8" s="286"/>
      <c r="J8" s="286"/>
      <c r="K8" s="287"/>
    </row>
    <row r="9" spans="1:12" ht="15.75" thickBot="1" x14ac:dyDescent="0.3">
      <c r="A9" s="117"/>
      <c r="B9" s="21">
        <v>24</v>
      </c>
      <c r="C9" s="22"/>
      <c r="D9" s="22"/>
      <c r="E9" s="22"/>
      <c r="F9" s="22"/>
      <c r="G9" s="22"/>
      <c r="H9" s="22"/>
      <c r="I9" s="22"/>
      <c r="J9" s="22"/>
      <c r="K9" s="118"/>
      <c r="L9" s="5"/>
    </row>
    <row r="10" spans="1:12" ht="15" x14ac:dyDescent="0.25">
      <c r="A10" s="119" t="s">
        <v>4</v>
      </c>
      <c r="B10" s="23"/>
      <c r="C10" s="24"/>
      <c r="D10" s="24"/>
      <c r="E10" s="24"/>
      <c r="F10" s="24"/>
      <c r="G10" s="24"/>
      <c r="H10" s="24"/>
      <c r="I10" s="24"/>
      <c r="J10" s="24"/>
      <c r="K10" s="120"/>
    </row>
    <row r="11" spans="1:12" s="13" customFormat="1" ht="15" x14ac:dyDescent="0.25">
      <c r="A11" s="121" t="s">
        <v>13</v>
      </c>
      <c r="B11" s="194" t="str">
        <f>IF(Probendimensionen!B2="Rund",Probendimensionen!B28,"")</f>
        <v/>
      </c>
      <c r="C11" s="25" t="str">
        <f>IF(C$9="","",$B$11)</f>
        <v/>
      </c>
      <c r="D11" s="25" t="str">
        <f t="shared" ref="D11:K11" si="0">IF(D$9="","",$B$11)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6" t="str">
        <f t="shared" si="0"/>
        <v/>
      </c>
      <c r="L11" s="6"/>
    </row>
    <row r="12" spans="1:12" s="13" customFormat="1" ht="15" x14ac:dyDescent="0.25">
      <c r="A12" s="121" t="s">
        <v>14</v>
      </c>
      <c r="B12" s="197" t="str">
        <f>IF(Probendimensionen!B2="Rund",Probendimensionen!B29,"")</f>
        <v/>
      </c>
      <c r="C12" s="27" t="str">
        <f>IF(C$9="","",IFERROR($B12*(1+C$10*(C$9-$B$9)),""))</f>
        <v/>
      </c>
      <c r="D12" s="27" t="str">
        <f t="shared" ref="D12:K13" si="1">IF(D$9="","",IFERROR($B12*(1+D$10*(D$9-$B$9)),""))</f>
        <v/>
      </c>
      <c r="E12" s="27" t="str">
        <f t="shared" si="1"/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8" t="str">
        <f t="shared" si="1"/>
        <v/>
      </c>
      <c r="L12" s="14"/>
    </row>
    <row r="13" spans="1:12" s="13" customFormat="1" ht="15" x14ac:dyDescent="0.25">
      <c r="A13" s="121" t="s">
        <v>21</v>
      </c>
      <c r="B13" s="194" t="str">
        <f>IF(Probendimensionen!B2="Rund",Probendimensionen!B30,"")</f>
        <v/>
      </c>
      <c r="C13" s="30" t="str">
        <f>IF(C$9="","",IFERROR($B13*(1+C$10*(C$9-$B$9)),""))</f>
        <v/>
      </c>
      <c r="D13" s="30" t="str">
        <f t="shared" si="1"/>
        <v/>
      </c>
      <c r="E13" s="30" t="str">
        <f t="shared" si="1"/>
        <v/>
      </c>
      <c r="F13" s="30" t="str">
        <f t="shared" si="1"/>
        <v/>
      </c>
      <c r="G13" s="30" t="str">
        <f t="shared" si="1"/>
        <v/>
      </c>
      <c r="H13" s="30" t="str">
        <f t="shared" si="1"/>
        <v/>
      </c>
      <c r="I13" s="30" t="str">
        <f t="shared" si="1"/>
        <v/>
      </c>
      <c r="J13" s="30" t="str">
        <f t="shared" si="1"/>
        <v/>
      </c>
      <c r="K13" s="31" t="str">
        <f t="shared" si="1"/>
        <v/>
      </c>
      <c r="L13" s="15"/>
    </row>
    <row r="14" spans="1:12" s="13" customFormat="1" ht="18" x14ac:dyDescent="0.35">
      <c r="A14" s="121" t="s">
        <v>48</v>
      </c>
      <c r="B14" s="29"/>
      <c r="C14" s="32"/>
      <c r="D14" s="32"/>
      <c r="E14" s="32"/>
      <c r="F14" s="32"/>
      <c r="G14" s="32"/>
      <c r="H14" s="32"/>
      <c r="I14" s="32"/>
      <c r="J14" s="32"/>
      <c r="K14" s="33"/>
    </row>
    <row r="15" spans="1:12" s="13" customFormat="1" ht="18.75" thickBot="1" x14ac:dyDescent="0.4">
      <c r="A15" s="121" t="s">
        <v>49</v>
      </c>
      <c r="B15" s="152" t="str">
        <f>IF(B14="","",(IF(B12/B13&lt;20,(1+(4.939*(1+(0.0752*$B$16)+(0.8109*($B$16^2))))*((B13/B12)^2)-0.4883*((B13/B12)^4)-((4.691*(1+(0.2023*$B$16)+(2.173*($B$16^2)))*((B13/B12)^4))/(1+(4.754*(1+(0.1408*$B$16)+(1.536*($B$16^2)))*((B13/B12)^2))))),(1+(4.939*((B13/B12)^2))))))</f>
        <v/>
      </c>
      <c r="C15" s="153" t="str">
        <f>IF(C14="","",(IF(C12/C13&lt;20,(1+(4.939*(1+(0.0752*$C$16)+(0.8109*($C$16^2))))*((C13/C12)^2)-0.4883*((C13/C12)^4)-((4.691*(1+(0.2023*$C$16)+(2.173*($C$16^2)))*((C13/C12)^4))/(1+(4.754*(1+(0.1408*$C$16)+(1.536*($C$16^2)))*((C13/C12)^2))))),(1+(4.939*((C13/C12)^2))))))</f>
        <v/>
      </c>
      <c r="D15" s="153" t="str">
        <f>IF(D14="","",(IF(D12/D13&lt;20,(1+(4.939*(1+(0.0752*$D$16)+(0.8109*($D$16^2))))*((D13/D12)^2)-0.4883*((D13/D12)^4)-((4.691*(1+(0.2023*$D$16)+(2.173*($D$16^2)))*((D13/D12)^4))/(1+(4.754*(1+(0.1408*$D$16)+(1.536*($D$16^2)))*((D13/D12)^2))))),(1+(4.939*((D13/D12)^2))))))</f>
        <v/>
      </c>
      <c r="E15" s="153" t="str">
        <f>IF(E14="","",(IF(E12/E13&lt;20,(1+(4.939*(1+(0.0752*$E$16)+(0.8109*($E$16^2))))*((E13/E12)^2)-0.4883*((E13/E12)^4)-((4.691*(1+(0.2023*$E$16)+(2.173*($E$16^2)))*((E13/E12)^4))/(1+(4.754*(1+(0.1408*$E$16)+(1.536*($E$16^2)))*((E13/E12)^2))))),(1+(4.939*((E13/E12)^2))))))</f>
        <v/>
      </c>
      <c r="F15" s="153" t="str">
        <f>IF(F14="","",(IF(F12/F13&lt;20,(1+(4.939*(1+(0.0752*$F$16)+(0.8109*($F$16^2))))*((F13/F12)^2)-0.4883*((F13/F12)^4)-((4.691*(1+(0.2023*$F$16)+(2.173*($F$16^2)))*((F13/F12)^4))/(1+(4.754*(1+(0.1408*$F$16)+(1.536*($F$16^2)))*((F13/F12)^2))))),(1+(4.939*((F13/F12)^2))))))</f>
        <v/>
      </c>
      <c r="G15" s="153" t="str">
        <f>IF(G14="","",(IF(G12/G13&lt;20,(1+(4.939*(1+(0.0752*$G$16)+(0.8109*($G$16^2))))*((G13/G12)^2)-0.4883*((G13/G12)^4)-((4.691*(1+(0.2023*$G$16)+(2.173*($G$16^2)))*((G13/G12)^4))/(1+(4.754*(1+(0.1408*$G$16)+(1.536*($G$16^2)))*((G13/G12)^2))))),(1+(4.939*((G13/G12)^2))))))</f>
        <v/>
      </c>
      <c r="H15" s="153" t="str">
        <f>IF(H14="","",(IF(H12/H13&lt;20,(1+(4.939*(1+(0.0752*$H$16)+(0.8109*($H$16^2))))*((H13/H12)^2)-0.4883*((H13/H12)^4)-((4.691*(1+(0.2023*$H$16)+(2.173*($H$16^2)))*((H13/H12)^4))/(1+(4.754*(1+(0.1408*$H$16)+(1.536*($H$16^2)))*((H13/H12)^2))))),(1+(4.939*((H13/H12)^2))))))</f>
        <v/>
      </c>
      <c r="I15" s="153" t="str">
        <f>IF(I14="","",(IF(I12/I13&lt;20,(1+(4.939*(1+(0.0752*$I$16)+(0.8109*($I$16^2))))*((I13/I12)^2)-0.4883*((I13/I12)^4)-((4.691*(1+(0.2023*$I$16)+(2.173*($I$16^2)))*((I13/I12)^4))/(1+(4.754*(1+(0.1408*$I$16)+(1.536*($I$16^2)))*((I13/I12)^2))))),(1+(4.939*((I13/I12)^2))))))</f>
        <v/>
      </c>
      <c r="J15" s="153" t="str">
        <f>IF(J14="","",(IF(J12/J13&lt;20,(1+(4.939*(1+(0.0752*$J$16)+(0.8109*($J$16^2))))*((J13/J12)^2)-0.4883*((J13/J12)^4)-((4.691*(1+(0.2023*$J$16)+(2.173*($J$16^2)))*((J13/J12)^4))/(1+(4.754*(1+(0.1408*$J$16)+(1.536*($J$16^2)))*((J13/J12)^2))))),(1+(4.939*((J13/J12)^2))))))</f>
        <v/>
      </c>
      <c r="K15" s="154" t="str">
        <f>IF(K14="","",(IF(K12/K13&lt;20,(1+(4.939*(1+(0.0752*$K$16)+(0.8109*($K$16^2))))*((K13/K12)^2)-0.4883*((K13/K12)^4)-((4.691*(1+(0.2023*$K$16)+(2.173*($K$16^2)))*((K13/K12)^4))/(1+(4.754*(1+(0.1408*$K$16)+(1.536*($K$16^2)))*((K13/K12)^2))))),(1+(4.939*((K13/K12)^2))))))</f>
        <v/>
      </c>
    </row>
    <row r="16" spans="1:12" s="13" customFormat="1" ht="15.75" thickBot="1" x14ac:dyDescent="0.3">
      <c r="A16" s="122" t="s">
        <v>42</v>
      </c>
      <c r="B16" s="123"/>
      <c r="C16" s="124"/>
      <c r="D16" s="124"/>
      <c r="E16" s="124"/>
      <c r="F16" s="124"/>
      <c r="G16" s="124"/>
      <c r="H16" s="124"/>
      <c r="I16" s="124"/>
      <c r="J16" s="124"/>
      <c r="K16" s="125"/>
    </row>
    <row r="17" spans="1:12" s="13" customFormat="1" ht="32.25" customHeight="1" thickBot="1" x14ac:dyDescent="0.3">
      <c r="A17" s="88" t="s">
        <v>25</v>
      </c>
      <c r="B17" s="126" t="str">
        <f t="shared" ref="B17:K17" si="2">IF(B14="","",(1.6067*((B12^3)/(B13^4))*((B11*(B14^2))*B15))/10^9)</f>
        <v/>
      </c>
      <c r="C17" s="127" t="str">
        <f t="shared" si="2"/>
        <v/>
      </c>
      <c r="D17" s="127" t="str">
        <f t="shared" si="2"/>
        <v/>
      </c>
      <c r="E17" s="127" t="str">
        <f t="shared" si="2"/>
        <v/>
      </c>
      <c r="F17" s="127" t="str">
        <f t="shared" si="2"/>
        <v/>
      </c>
      <c r="G17" s="127" t="str">
        <f t="shared" si="2"/>
        <v/>
      </c>
      <c r="H17" s="127" t="str">
        <f t="shared" si="2"/>
        <v/>
      </c>
      <c r="I17" s="127" t="str">
        <f t="shared" si="2"/>
        <v/>
      </c>
      <c r="J17" s="127" t="str">
        <f t="shared" si="2"/>
        <v/>
      </c>
      <c r="K17" s="128" t="str">
        <f t="shared" si="2"/>
        <v/>
      </c>
      <c r="L17" s="10"/>
    </row>
    <row r="18" spans="1:12" s="13" customFormat="1" ht="15.75" thickBot="1" x14ac:dyDescent="0.3">
      <c r="A18" s="101" t="s">
        <v>29</v>
      </c>
      <c r="B18" s="129" t="s">
        <v>30</v>
      </c>
      <c r="C18" s="129" t="s">
        <v>31</v>
      </c>
      <c r="D18" s="129" t="s">
        <v>32</v>
      </c>
      <c r="E18" s="129" t="s">
        <v>33</v>
      </c>
      <c r="F18" s="129" t="s">
        <v>34</v>
      </c>
      <c r="G18" s="129" t="s">
        <v>35</v>
      </c>
      <c r="H18" s="129" t="s">
        <v>36</v>
      </c>
      <c r="I18" s="129" t="s">
        <v>37</v>
      </c>
      <c r="J18" s="129" t="s">
        <v>38</v>
      </c>
      <c r="K18" s="130" t="s">
        <v>39</v>
      </c>
      <c r="L18" s="16"/>
    </row>
    <row r="19" spans="1:12" s="13" customFormat="1" ht="15.75" thickBot="1" x14ac:dyDescent="0.3">
      <c r="A19" s="101" t="s">
        <v>41</v>
      </c>
      <c r="B19" s="131"/>
      <c r="C19" s="132"/>
      <c r="D19" s="132"/>
      <c r="E19" s="132"/>
      <c r="F19" s="132"/>
      <c r="G19" s="132"/>
      <c r="H19" s="132"/>
      <c r="I19" s="132"/>
      <c r="J19" s="132"/>
      <c r="K19" s="133"/>
      <c r="L19" s="16"/>
    </row>
    <row r="20" spans="1:12" s="13" customFormat="1" ht="15.75" thickBot="1" x14ac:dyDescent="0.3">
      <c r="A20" s="108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6"/>
    </row>
    <row r="21" spans="1:12" s="13" customFormat="1" ht="15" x14ac:dyDescent="0.25">
      <c r="A21" s="135" t="s">
        <v>28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2" s="13" customFormat="1" ht="15" x14ac:dyDescent="0.25">
      <c r="A22" s="66"/>
      <c r="B22" s="56"/>
      <c r="C22" s="56"/>
      <c r="D22" s="56"/>
      <c r="E22" s="56"/>
      <c r="F22" s="56"/>
      <c r="G22" s="56"/>
      <c r="H22" s="56"/>
      <c r="I22" s="56"/>
      <c r="J22" s="56"/>
      <c r="K22" s="56"/>
    </row>
    <row r="23" spans="1:12" s="13" customFormat="1" ht="15" x14ac:dyDescent="0.25">
      <c r="A23" s="66"/>
      <c r="B23" s="136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1:12" ht="30.2" customHeight="1" x14ac:dyDescent="0.25">
      <c r="A24" s="66" t="s">
        <v>8</v>
      </c>
      <c r="B24" s="67"/>
      <c r="C24" s="68"/>
      <c r="D24" s="68"/>
      <c r="E24" s="68"/>
      <c r="F24" s="68"/>
      <c r="G24" s="68" t="s">
        <v>8</v>
      </c>
      <c r="H24" s="67"/>
      <c r="I24" s="68"/>
      <c r="J24" s="68"/>
      <c r="K24" s="18"/>
    </row>
    <row r="25" spans="1:12" ht="28.5" customHeight="1" x14ac:dyDescent="0.25">
      <c r="A25" s="68" t="s">
        <v>9</v>
      </c>
      <c r="B25" s="67"/>
      <c r="C25" s="68"/>
      <c r="D25" s="68"/>
      <c r="E25" s="68"/>
      <c r="F25" s="68"/>
      <c r="G25" s="68" t="s">
        <v>7</v>
      </c>
      <c r="H25" s="67"/>
      <c r="I25" s="68"/>
      <c r="J25" s="68"/>
      <c r="K25" s="18"/>
    </row>
    <row r="33" spans="1:15" s="13" customFormat="1" hidden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5" spans="1:15" hidden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44" spans="1:15" ht="15" hidden="1" x14ac:dyDescent="0.25">
      <c r="L44" s="13"/>
      <c r="M44" s="13"/>
      <c r="N44" s="13"/>
      <c r="O44" s="11"/>
    </row>
    <row r="46" spans="1:15" hidden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</sheetData>
  <sheetProtection algorithmName="SHA-512" hashValue="fgsgbZfJvvjBNkltAIJnps3fKwp2fh5JIY2s+VCsWemzUiFq0bhb9X4MdNhNNHW8m4KbWDRPcINGSMJCT0UsYg==" saltValue="maiHkhBFkqvS1b8IGxHH8Q==" spinCount="100000" sheet="1" objects="1" scenarios="1"/>
  <mergeCells count="5">
    <mergeCell ref="B8:K8"/>
    <mergeCell ref="A3:D3"/>
    <mergeCell ref="B4:G4"/>
    <mergeCell ref="B5:G5"/>
    <mergeCell ref="B6:G6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18:K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/>
  <dimension ref="A1:L28"/>
  <sheetViews>
    <sheetView zoomScaleNormal="100" workbookViewId="0">
      <selection activeCell="B14" sqref="B14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6384" width="11.28515625" style="1" hidden="1"/>
  </cols>
  <sheetData>
    <row r="1" spans="1:11" s="3" customFormat="1" ht="15.75" x14ac:dyDescent="0.25">
      <c r="A1" s="62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4" customFormat="1" ht="12.75" x14ac:dyDescent="0.2">
      <c r="A2" s="63" t="s">
        <v>23</v>
      </c>
      <c r="B2" s="63"/>
      <c r="C2" s="63"/>
      <c r="D2" s="63"/>
      <c r="E2" s="63"/>
      <c r="F2" s="65"/>
      <c r="G2" s="65"/>
      <c r="H2" s="65"/>
      <c r="I2" s="65"/>
      <c r="J2" s="65"/>
      <c r="K2" s="65"/>
    </row>
    <row r="3" spans="1:11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8"/>
      <c r="J3" s="18"/>
      <c r="K3" s="18"/>
    </row>
    <row r="4" spans="1:11" ht="15" x14ac:dyDescent="0.25">
      <c r="A4" s="137" t="s">
        <v>17</v>
      </c>
      <c r="B4" s="312" t="str">
        <f>IF('E-Modul_rund'!B4:G4="","",'E-Modul_rund'!B4:G4)</f>
        <v>5.22/430</v>
      </c>
      <c r="C4" s="313"/>
      <c r="D4" s="313"/>
      <c r="E4" s="313"/>
      <c r="F4" s="313"/>
      <c r="G4" s="314"/>
      <c r="H4" s="18"/>
      <c r="I4" s="18"/>
      <c r="J4" s="18"/>
      <c r="K4" s="18"/>
    </row>
    <row r="5" spans="1:11" ht="15" x14ac:dyDescent="0.25">
      <c r="A5" s="137" t="s">
        <v>6</v>
      </c>
      <c r="B5" s="315" t="str">
        <f>IF('E-Modul_rund'!B5:G5="","",'E-Modul_rund'!B5:G5)</f>
        <v>S355J2 + N</v>
      </c>
      <c r="C5" s="316"/>
      <c r="D5" s="316"/>
      <c r="E5" s="316"/>
      <c r="F5" s="316"/>
      <c r="G5" s="317"/>
      <c r="H5" s="18"/>
      <c r="I5" s="18"/>
      <c r="J5" s="18"/>
      <c r="K5" s="18"/>
    </row>
    <row r="6" spans="1:11" ht="15.75" thickBot="1" x14ac:dyDescent="0.3">
      <c r="A6" s="137" t="s">
        <v>22</v>
      </c>
      <c r="B6" s="318" t="str">
        <f>IF('E-Modul_rund'!B6:G6="","",'E-Modul_rund'!B6:G6)</f>
        <v>ERX2</v>
      </c>
      <c r="C6" s="319"/>
      <c r="D6" s="319"/>
      <c r="E6" s="319"/>
      <c r="F6" s="319"/>
      <c r="G6" s="320"/>
      <c r="H6" s="18"/>
      <c r="I6" s="18"/>
      <c r="J6" s="18"/>
      <c r="K6" s="18"/>
    </row>
    <row r="7" spans="1:11" ht="15.75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10" t="s">
        <v>0</v>
      </c>
      <c r="B8" s="309" t="s">
        <v>1</v>
      </c>
      <c r="C8" s="310"/>
      <c r="D8" s="310"/>
      <c r="E8" s="310"/>
      <c r="F8" s="310"/>
      <c r="G8" s="310"/>
      <c r="H8" s="310"/>
      <c r="I8" s="310"/>
      <c r="J8" s="310"/>
      <c r="K8" s="311"/>
    </row>
    <row r="9" spans="1:11" ht="15.75" thickBot="1" x14ac:dyDescent="0.3">
      <c r="A9" s="111"/>
      <c r="B9" s="112">
        <v>24</v>
      </c>
      <c r="C9" s="113" t="str">
        <f>IF('E-Modul_rund'!C9="","",'E-Modul_rund'!C9)</f>
        <v/>
      </c>
      <c r="D9" s="113" t="str">
        <f>IF('E-Modul_rund'!D9="","",'E-Modul_rund'!D9)</f>
        <v/>
      </c>
      <c r="E9" s="113" t="str">
        <f>IF('E-Modul_rund'!E9="","",'E-Modul_rund'!E9)</f>
        <v/>
      </c>
      <c r="F9" s="113" t="str">
        <f>IF('E-Modul_rund'!F9="","",'E-Modul_rund'!F9)</f>
        <v/>
      </c>
      <c r="G9" s="113" t="str">
        <f>IF('E-Modul_rund'!G9="","",'E-Modul_rund'!G9)</f>
        <v/>
      </c>
      <c r="H9" s="113" t="str">
        <f>IF('E-Modul_rund'!H9="","",'E-Modul_rund'!H9)</f>
        <v/>
      </c>
      <c r="I9" s="113" t="str">
        <f>IF('E-Modul_rund'!I9="","",'E-Modul_rund'!I9)</f>
        <v/>
      </c>
      <c r="J9" s="113" t="str">
        <f>IF('E-Modul_rund'!J9="","",'E-Modul_rund'!J9)</f>
        <v/>
      </c>
      <c r="K9" s="114" t="str">
        <f>IF('E-Modul_rund'!K9="","",'E-Modul_rund'!K9)</f>
        <v/>
      </c>
    </row>
    <row r="10" spans="1:11" ht="15.75" thickBot="1" x14ac:dyDescent="0.3">
      <c r="A10" s="82" t="s">
        <v>4</v>
      </c>
      <c r="B10" s="83"/>
      <c r="C10" s="138" t="str">
        <f>IF('E-Modul_rund'!C10="","",'E-Modul_rund'!C10)</f>
        <v/>
      </c>
      <c r="D10" s="138" t="str">
        <f>IF('E-Modul_rund'!D10="","",'E-Modul_rund'!D10)</f>
        <v/>
      </c>
      <c r="E10" s="138" t="str">
        <f>IF('E-Modul_rund'!E10="","",'E-Modul_rund'!E10)</f>
        <v/>
      </c>
      <c r="F10" s="138" t="str">
        <f>IF('E-Modul_rund'!F10="","",'E-Modul_rund'!F10)</f>
        <v/>
      </c>
      <c r="G10" s="138" t="str">
        <f>IF('E-Modul_rund'!G10="","",'E-Modul_rund'!G10)</f>
        <v/>
      </c>
      <c r="H10" s="138" t="str">
        <f>IF('E-Modul_rund'!H10="","",'E-Modul_rund'!H10)</f>
        <v/>
      </c>
      <c r="I10" s="138" t="str">
        <f>IF('E-Modul_rund'!I10="","",'E-Modul_rund'!I10)</f>
        <v/>
      </c>
      <c r="J10" s="138" t="str">
        <f>IF('E-Modul_rund'!J10="","",'E-Modul_rund'!J10)</f>
        <v/>
      </c>
      <c r="K10" s="139" t="str">
        <f>IF('E-Modul_rund'!K10="","",'E-Modul_rund'!K10)</f>
        <v/>
      </c>
    </row>
    <row r="11" spans="1:11" s="13" customFormat="1" ht="15" x14ac:dyDescent="0.25">
      <c r="A11" s="82" t="s">
        <v>13</v>
      </c>
      <c r="B11" s="140" t="str">
        <f>'E-Modul_rund'!B11</f>
        <v/>
      </c>
      <c r="C11" s="30" t="str">
        <f>'E-Modul_rund'!C11</f>
        <v/>
      </c>
      <c r="D11" s="30" t="str">
        <f>'E-Modul_rund'!D11</f>
        <v/>
      </c>
      <c r="E11" s="30" t="str">
        <f>'E-Modul_rund'!E11</f>
        <v/>
      </c>
      <c r="F11" s="30" t="str">
        <f>'E-Modul_rund'!F11</f>
        <v/>
      </c>
      <c r="G11" s="30" t="str">
        <f>'E-Modul_rund'!G11</f>
        <v/>
      </c>
      <c r="H11" s="30" t="str">
        <f>'E-Modul_rund'!H11</f>
        <v/>
      </c>
      <c r="I11" s="30" t="str">
        <f>'E-Modul_rund'!I11</f>
        <v/>
      </c>
      <c r="J11" s="30" t="str">
        <f>'E-Modul_rund'!J11</f>
        <v/>
      </c>
      <c r="K11" s="31" t="str">
        <f>'E-Modul_rund'!K11</f>
        <v/>
      </c>
    </row>
    <row r="12" spans="1:11" s="13" customFormat="1" ht="15" x14ac:dyDescent="0.25">
      <c r="A12" s="82" t="s">
        <v>14</v>
      </c>
      <c r="B12" s="270" t="str">
        <f>'E-Modul_rund'!B12</f>
        <v/>
      </c>
      <c r="C12" s="27" t="str">
        <f>'E-Modul_rund'!C12</f>
        <v/>
      </c>
      <c r="D12" s="27" t="str">
        <f>'E-Modul_rund'!D12</f>
        <v/>
      </c>
      <c r="E12" s="27" t="str">
        <f>'E-Modul_rund'!E12</f>
        <v/>
      </c>
      <c r="F12" s="27" t="str">
        <f>'E-Modul_rund'!F12</f>
        <v/>
      </c>
      <c r="G12" s="27" t="str">
        <f>'E-Modul_rund'!G12</f>
        <v/>
      </c>
      <c r="H12" s="27" t="str">
        <f>'E-Modul_rund'!H12</f>
        <v/>
      </c>
      <c r="I12" s="27" t="str">
        <f>'E-Modul_rund'!I12</f>
        <v/>
      </c>
      <c r="J12" s="27" t="str">
        <f>'E-Modul_rund'!J12</f>
        <v/>
      </c>
      <c r="K12" s="28" t="str">
        <f>'E-Modul_rund'!K12</f>
        <v/>
      </c>
    </row>
    <row r="13" spans="1:11" s="13" customFormat="1" ht="15" x14ac:dyDescent="0.25">
      <c r="A13" s="82" t="s">
        <v>21</v>
      </c>
      <c r="B13" s="141" t="str">
        <f>IF('E-Modul_rund'!B13="","",'E-Modul_rund'!B13)</f>
        <v/>
      </c>
      <c r="C13" s="30" t="str">
        <f>'E-Modul_rund'!C13</f>
        <v/>
      </c>
      <c r="D13" s="30" t="str">
        <f>'E-Modul_rund'!D13</f>
        <v/>
      </c>
      <c r="E13" s="30" t="str">
        <f>'E-Modul_rund'!E13</f>
        <v/>
      </c>
      <c r="F13" s="30" t="str">
        <f>'E-Modul_rund'!F13</f>
        <v/>
      </c>
      <c r="G13" s="30" t="str">
        <f>'E-Modul_rund'!G13</f>
        <v/>
      </c>
      <c r="H13" s="30" t="str">
        <f>'E-Modul_rund'!H13</f>
        <v/>
      </c>
      <c r="I13" s="30" t="str">
        <f>'E-Modul_rund'!I13</f>
        <v/>
      </c>
      <c r="J13" s="30" t="str">
        <f>'E-Modul_rund'!J13</f>
        <v/>
      </c>
      <c r="K13" s="31" t="str">
        <f>'E-Modul_rund'!K13</f>
        <v/>
      </c>
    </row>
    <row r="14" spans="1:11" s="13" customFormat="1" ht="18" x14ac:dyDescent="0.35">
      <c r="A14" s="82" t="s">
        <v>47</v>
      </c>
      <c r="B14" s="29"/>
      <c r="C14" s="32"/>
      <c r="D14" s="32"/>
      <c r="E14" s="32"/>
      <c r="F14" s="32"/>
      <c r="G14" s="32"/>
      <c r="H14" s="32"/>
      <c r="I14" s="32"/>
      <c r="J14" s="32"/>
      <c r="K14" s="33"/>
    </row>
    <row r="15" spans="1:11" s="13" customFormat="1" ht="15.75" thickBot="1" x14ac:dyDescent="0.3">
      <c r="A15" s="82"/>
      <c r="B15" s="142"/>
      <c r="C15" s="143"/>
      <c r="D15" s="143"/>
      <c r="E15" s="143"/>
      <c r="F15" s="143"/>
      <c r="G15" s="143"/>
      <c r="H15" s="143"/>
      <c r="I15" s="143"/>
      <c r="J15" s="143"/>
      <c r="K15" s="144"/>
    </row>
    <row r="16" spans="1:11" ht="30.2" customHeight="1" thickBot="1" x14ac:dyDescent="0.25">
      <c r="A16" s="97" t="s">
        <v>24</v>
      </c>
      <c r="B16" s="145" t="str">
        <f>IF(B14="","",(16*B11*(B14^2)*(B12/(PI()*(B13^2))))/10^9)</f>
        <v/>
      </c>
      <c r="C16" s="146" t="str">
        <f t="shared" ref="C16:K16" si="0">IF(C14="","",(16*C11*(C14^2)*(C12/(PI()*(C13^2))))/10^9)</f>
        <v/>
      </c>
      <c r="D16" s="146" t="str">
        <f t="shared" si="0"/>
        <v/>
      </c>
      <c r="E16" s="146" t="str">
        <f t="shared" si="0"/>
        <v/>
      </c>
      <c r="F16" s="146" t="str">
        <f t="shared" si="0"/>
        <v/>
      </c>
      <c r="G16" s="146" t="str">
        <f t="shared" si="0"/>
        <v/>
      </c>
      <c r="H16" s="146" t="str">
        <f t="shared" si="0"/>
        <v/>
      </c>
      <c r="I16" s="146" t="str">
        <f t="shared" si="0"/>
        <v/>
      </c>
      <c r="J16" s="146" t="str">
        <f t="shared" si="0"/>
        <v/>
      </c>
      <c r="K16" s="147" t="str">
        <f t="shared" si="0"/>
        <v/>
      </c>
    </row>
    <row r="17" spans="1:11" ht="15.75" thickBot="1" x14ac:dyDescent="0.25">
      <c r="A17" s="148"/>
      <c r="B17" s="149"/>
      <c r="C17" s="149"/>
      <c r="D17" s="149"/>
      <c r="E17" s="149"/>
      <c r="F17" s="149"/>
      <c r="G17" s="149"/>
      <c r="H17" s="149"/>
      <c r="I17" s="149"/>
      <c r="J17" s="149"/>
      <c r="K17" s="149"/>
    </row>
    <row r="18" spans="1:11" ht="15.75" thickBot="1" x14ac:dyDescent="0.25">
      <c r="A18" s="97" t="s">
        <v>25</v>
      </c>
      <c r="B18" s="150" t="str">
        <f>'E-Modul_rund'!B17</f>
        <v/>
      </c>
      <c r="C18" s="150" t="str">
        <f>'E-Modul_rund'!C17</f>
        <v/>
      </c>
      <c r="D18" s="150" t="str">
        <f>'E-Modul_rund'!D17</f>
        <v/>
      </c>
      <c r="E18" s="150" t="str">
        <f>'E-Modul_rund'!E17</f>
        <v/>
      </c>
      <c r="F18" s="150" t="str">
        <f>'E-Modul_rund'!F17</f>
        <v/>
      </c>
      <c r="G18" s="150" t="str">
        <f>'E-Modul_rund'!G17</f>
        <v/>
      </c>
      <c r="H18" s="150" t="str">
        <f>'E-Modul_rund'!H17</f>
        <v/>
      </c>
      <c r="I18" s="150" t="str">
        <f>'E-Modul_rund'!I17</f>
        <v/>
      </c>
      <c r="J18" s="150" t="str">
        <f>'E-Modul_rund'!J17</f>
        <v/>
      </c>
      <c r="K18" s="96" t="str">
        <f>'E-Modul_rund'!K17</f>
        <v/>
      </c>
    </row>
    <row r="19" spans="1:11" s="12" customFormat="1" ht="31.7" customHeight="1" thickBot="1" x14ac:dyDescent="0.25">
      <c r="A19" s="97" t="s">
        <v>42</v>
      </c>
      <c r="B19" s="98" t="str">
        <f>IF(B14="","",B18/(B16*2)-1)</f>
        <v/>
      </c>
      <c r="C19" s="98" t="str">
        <f t="shared" ref="C19:K19" si="1">IF(C14="","",C18/(C16*2)-1)</f>
        <v/>
      </c>
      <c r="D19" s="98" t="str">
        <f t="shared" si="1"/>
        <v/>
      </c>
      <c r="E19" s="98" t="str">
        <f t="shared" si="1"/>
        <v/>
      </c>
      <c r="F19" s="98" t="str">
        <f t="shared" si="1"/>
        <v/>
      </c>
      <c r="G19" s="98" t="str">
        <f t="shared" si="1"/>
        <v/>
      </c>
      <c r="H19" s="98" t="str">
        <f t="shared" si="1"/>
        <v/>
      </c>
      <c r="I19" s="98" t="str">
        <f t="shared" si="1"/>
        <v/>
      </c>
      <c r="J19" s="98" t="str">
        <f t="shared" si="1"/>
        <v/>
      </c>
      <c r="K19" s="151" t="str">
        <f t="shared" si="1"/>
        <v/>
      </c>
    </row>
    <row r="20" spans="1:11" ht="15.75" thickBot="1" x14ac:dyDescent="0.25">
      <c r="A20" s="148"/>
      <c r="B20" s="149"/>
      <c r="C20" s="149"/>
      <c r="D20" s="149"/>
      <c r="E20" s="149"/>
      <c r="F20" s="149"/>
      <c r="G20" s="149"/>
      <c r="H20" s="149"/>
      <c r="I20" s="149"/>
      <c r="J20" s="149"/>
      <c r="K20" s="149"/>
    </row>
    <row r="21" spans="1:11" ht="15.75" thickBot="1" x14ac:dyDescent="0.3">
      <c r="A21" s="101" t="s">
        <v>29</v>
      </c>
      <c r="B21" s="102" t="s">
        <v>30</v>
      </c>
      <c r="C21" s="103" t="s">
        <v>31</v>
      </c>
      <c r="D21" s="103" t="s">
        <v>32</v>
      </c>
      <c r="E21" s="103" t="s">
        <v>33</v>
      </c>
      <c r="F21" s="103" t="s">
        <v>34</v>
      </c>
      <c r="G21" s="103" t="s">
        <v>35</v>
      </c>
      <c r="H21" s="103" t="s">
        <v>36</v>
      </c>
      <c r="I21" s="103" t="s">
        <v>37</v>
      </c>
      <c r="J21" s="103" t="s">
        <v>38</v>
      </c>
      <c r="K21" s="104" t="s">
        <v>39</v>
      </c>
    </row>
    <row r="22" spans="1:11" ht="15.75" thickBot="1" x14ac:dyDescent="0.3">
      <c r="A22" s="101" t="s">
        <v>41</v>
      </c>
      <c r="B22" s="105"/>
      <c r="C22" s="106"/>
      <c r="D22" s="106"/>
      <c r="E22" s="106"/>
      <c r="F22" s="106"/>
      <c r="G22" s="106"/>
      <c r="H22" s="106"/>
      <c r="I22" s="106"/>
      <c r="J22" s="106"/>
      <c r="K22" s="107"/>
    </row>
    <row r="23" spans="1:11" ht="15.75" thickBot="1" x14ac:dyDescent="0.3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1:11" ht="15" x14ac:dyDescent="0.25">
      <c r="A24" s="50" t="s">
        <v>28</v>
      </c>
      <c r="B24" s="51"/>
      <c r="C24" s="52"/>
      <c r="D24" s="52"/>
      <c r="E24" s="52"/>
      <c r="F24" s="52"/>
      <c r="G24" s="52"/>
      <c r="H24" s="52"/>
      <c r="I24" s="52"/>
      <c r="J24" s="52"/>
      <c r="K24" s="53"/>
    </row>
    <row r="25" spans="1:11" ht="15" x14ac:dyDescent="0.25">
      <c r="A25" s="54"/>
      <c r="B25" s="55"/>
      <c r="C25" s="56"/>
      <c r="D25" s="56"/>
      <c r="E25" s="56"/>
      <c r="F25" s="56"/>
      <c r="G25" s="56"/>
      <c r="H25" s="56"/>
      <c r="I25" s="56"/>
      <c r="J25" s="56"/>
      <c r="K25" s="57"/>
    </row>
    <row r="26" spans="1:11" ht="15.75" thickBot="1" x14ac:dyDescent="0.3">
      <c r="A26" s="58"/>
      <c r="B26" s="59"/>
      <c r="C26" s="60"/>
      <c r="D26" s="60"/>
      <c r="E26" s="60"/>
      <c r="F26" s="60"/>
      <c r="G26" s="60"/>
      <c r="H26" s="60"/>
      <c r="I26" s="60"/>
      <c r="J26" s="60"/>
      <c r="K26" s="61"/>
    </row>
    <row r="27" spans="1:11" ht="21.75" customHeight="1" x14ac:dyDescent="0.25">
      <c r="A27" s="66" t="s">
        <v>8</v>
      </c>
      <c r="B27" s="67"/>
      <c r="C27" s="68"/>
      <c r="D27" s="68"/>
      <c r="E27" s="68"/>
      <c r="F27" s="68"/>
      <c r="G27" s="68" t="s">
        <v>8</v>
      </c>
      <c r="H27" s="67"/>
      <c r="I27" s="68"/>
      <c r="J27" s="68"/>
      <c r="K27" s="18"/>
    </row>
    <row r="28" spans="1:11" ht="21.75" customHeight="1" x14ac:dyDescent="0.25">
      <c r="A28" s="68" t="s">
        <v>9</v>
      </c>
      <c r="B28" s="67"/>
      <c r="C28" s="68"/>
      <c r="D28" s="68"/>
      <c r="E28" s="68"/>
      <c r="F28" s="68"/>
      <c r="G28" s="68" t="s">
        <v>7</v>
      </c>
      <c r="H28" s="67"/>
      <c r="I28" s="68"/>
      <c r="J28" s="68"/>
      <c r="K28" s="18"/>
    </row>
  </sheetData>
  <sheetProtection algorithmName="SHA-512" hashValue="as0MskTQd6HemIVGDN6aXMKP5gEkmVmj2A/oGycgFsiOkAfuwcHW7niazZidJKmbWa6DsJUl8vbQ3w1oJtpZIA==" saltValue="THBxc/wL6rlVVSqH62Yb5A==" spinCount="100000" sheet="1" objects="1" scenarios="1"/>
  <mergeCells count="5">
    <mergeCell ref="B4:G4"/>
    <mergeCell ref="B5:G5"/>
    <mergeCell ref="B6:G6"/>
    <mergeCell ref="A3:D3"/>
    <mergeCell ref="B8:K8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21:K21" numberStoredAsText="1"/>
    <ignoredError sqref="B18:J18 B1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3</vt:i4>
      </vt:variant>
    </vt:vector>
  </HeadingPairs>
  <TitlesOfParts>
    <vt:vector size="8" baseType="lpstr">
      <vt:lpstr>Probendimensionen</vt:lpstr>
      <vt:lpstr>E-Modul_rechteck</vt:lpstr>
      <vt:lpstr>G-Modul_rechteck</vt:lpstr>
      <vt:lpstr>E-Modul_rund</vt:lpstr>
      <vt:lpstr>G-Modul_rund</vt:lpstr>
      <vt:lpstr>'E-Modul_rechteck'!Druckbereich</vt:lpstr>
      <vt:lpstr>'E-Modul_rund'!Druckbereich</vt:lpstr>
      <vt:lpstr>'G-Modul_rund'!Druckbereich</vt:lpstr>
    </vt:vector>
  </TitlesOfParts>
  <Company>BAM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brehmer</dc:creator>
  <cp:lastModifiedBy>Bayram, Faruk</cp:lastModifiedBy>
  <cp:lastPrinted>2020-09-16T11:28:02Z</cp:lastPrinted>
  <dcterms:created xsi:type="dcterms:W3CDTF">2008-09-08T14:22:07Z</dcterms:created>
  <dcterms:modified xsi:type="dcterms:W3CDTF">2021-09-22T12:28:28Z</dcterms:modified>
</cp:coreProperties>
</file>