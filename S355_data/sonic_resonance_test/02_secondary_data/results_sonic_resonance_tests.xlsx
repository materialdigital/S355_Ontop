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mbund-my.sharepoint.com/personal/markus_schilling_bam_de/Documents/Steel_sheet/_pub/sonic_resonance_test/02_secondary_data/"/>
    </mc:Choice>
  </mc:AlternateContent>
  <xr:revisionPtr revIDLastSave="0" documentId="13_ncr:1_{F6E7F8AE-ACC4-4361-8800-893E79EFB9D5}" xr6:coauthVersionLast="47" xr6:coauthVersionMax="47" xr10:uidLastSave="{00000000-0000-0000-0000-000000000000}"/>
  <bookViews>
    <workbookView xWindow="28680" yWindow="-120" windowWidth="29040" windowHeight="15840" xr2:uid="{BA5CDDC9-BC40-46D1-9117-FE3313674F93}"/>
  </bookViews>
  <sheets>
    <sheet name="Ergebnisse Gesamt Resonanz" sheetId="3" r:id="rId1"/>
  </sheets>
  <definedNames>
    <definedName name="_xlnm.Print_Area" localSheetId="0">'Ergebnisse Gesamt Resonanz'!$A$1:$P$47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3" l="1"/>
  <c r="O21" i="3"/>
  <c r="N23" i="3"/>
  <c r="O23" i="3"/>
  <c r="N24" i="3"/>
  <c r="O24" i="3"/>
  <c r="F21" i="3"/>
  <c r="P23" i="3" l="1"/>
  <c r="P21" i="3"/>
  <c r="P24" i="3"/>
  <c r="F23" i="3"/>
  <c r="F24" i="3"/>
  <c r="F20" i="3"/>
  <c r="O20" i="3"/>
  <c r="N20" i="3"/>
  <c r="P20" i="3" l="1"/>
  <c r="K21" i="3"/>
  <c r="K23" i="3"/>
  <c r="K24" i="3"/>
  <c r="K20" i="3"/>
</calcChain>
</file>

<file path=xl/sharedStrings.xml><?xml version="1.0" encoding="utf-8"?>
<sst xmlns="http://schemas.openxmlformats.org/spreadsheetml/2006/main" count="42" uniqueCount="36">
  <si>
    <t>E- und G-Modul nach ASTM E 1875:2020 Messung bei Raumtemperatur an Luft</t>
  </si>
  <si>
    <t>Materialbezeichnung: S355J2 + N</t>
  </si>
  <si>
    <t>Versuchsdurchführung und verwendete Prüfmittel:</t>
  </si>
  <si>
    <t>Raumtemperatureinrichtung vom ELASTOTRON 2000 (Fa. HTM Reetz Berlin)</t>
  </si>
  <si>
    <t>HP Network Analyzer</t>
  </si>
  <si>
    <t>Toellner TOE 7610 Amplifier</t>
  </si>
  <si>
    <t>Für die Bestimmung des E- und G-Moduls wird an der in Kohlefaserschlaufen aufgehängten Probe mittels eines piezoelektrischen Sender- Empfängersystems die Resonanzfrequenz der</t>
  </si>
  <si>
    <t>Biegeschwingung für die Ermittlung des E-Moduls und die Resonanzfrequenz der Torsionsschwingung für die Bestimmung des G-Moduls gemessen.</t>
  </si>
  <si>
    <t xml:space="preserve">Die Resonanzbiegeschwingungen werden in Flachkantrichtung (fk) und Hochkantrichtung (hk) angeregt, so dass mit einer Messung für beide Richtungen der E-Modul bestimmt werden kann. </t>
  </si>
  <si>
    <t>Durch einen Vergleich des flach- und hochkant ermittelten E-Moduls kann eine eventuell vorhandene Anisotropie oder Textur erkannt werden.</t>
  </si>
  <si>
    <t>Prüfergebnisse:</t>
  </si>
  <si>
    <t>Pr-Nr.</t>
  </si>
  <si>
    <t>m [g]</t>
  </si>
  <si>
    <t>L [mm]</t>
  </si>
  <si>
    <t>b [mm]</t>
  </si>
  <si>
    <t>h [mm]</t>
  </si>
  <si>
    <r>
      <rPr>
        <b/>
        <sz val="12"/>
        <color theme="1"/>
        <rFont val="Calibri"/>
        <family val="2"/>
      </rPr>
      <t>ρ [</t>
    </r>
    <r>
      <rPr>
        <b/>
        <sz val="12"/>
        <color theme="1"/>
        <rFont val="Calibri"/>
        <family val="2"/>
        <scheme val="minor"/>
      </rPr>
      <t>g/cm</t>
    </r>
    <r>
      <rPr>
        <b/>
        <vertAlign val="superscript"/>
        <sz val="12"/>
        <color indexed="8"/>
        <rFont val="Calibri"/>
        <family val="2"/>
      </rPr>
      <t>3]</t>
    </r>
  </si>
  <si>
    <r>
      <t>f</t>
    </r>
    <r>
      <rPr>
        <b/>
        <vertAlign val="subscript"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 [Hz]</t>
    </r>
  </si>
  <si>
    <t>E [GPa]</t>
  </si>
  <si>
    <r>
      <t>f</t>
    </r>
    <r>
      <rPr>
        <b/>
        <vertAlign val="subscript"/>
        <sz val="12"/>
        <color theme="1"/>
        <rFont val="Calibri"/>
        <family val="2"/>
        <scheme val="minor"/>
      </rPr>
      <t>t</t>
    </r>
    <r>
      <rPr>
        <b/>
        <sz val="12"/>
        <color theme="1"/>
        <rFont val="Calibri"/>
        <family val="2"/>
        <scheme val="minor"/>
      </rPr>
      <t xml:space="preserve">  [Hz]</t>
    </r>
  </si>
  <si>
    <t>G [GPa]</t>
  </si>
  <si>
    <t>µ [-]</t>
  </si>
  <si>
    <t>fk</t>
  </si>
  <si>
    <t>hk</t>
  </si>
  <si>
    <t>MW</t>
  </si>
  <si>
    <t>ERX1</t>
  </si>
  <si>
    <t>ERX2</t>
  </si>
  <si>
    <t>ERY1</t>
  </si>
  <si>
    <t>ERY2</t>
  </si>
  <si>
    <t>Messunsicherheit:</t>
  </si>
  <si>
    <t xml:space="preserve">Die Messunsicherheit wird nach GUM bestimmt und berücksichtigt die Unsicherheiten bei der Ermittlung der Einzelmesswerte der Eingangsgrößen. </t>
  </si>
  <si>
    <t>Der resultierende Gesamtfehler für den E- und G-Modul beträgt ±1 % (95 %-Vertrauensbereich) für die Raumtemperaturmessung.</t>
  </si>
  <si>
    <t>Fachbereich 5.2 Experimentelle und modellbasierte Werkstoffmechanik</t>
  </si>
  <si>
    <t>Datum:</t>
  </si>
  <si>
    <t>Prüfleiter:</t>
  </si>
  <si>
    <t>Prüfer: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</si>
</sst>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vertAlign val="superscript"/>
      <sz val="12"/>
      <color indexed="8"/>
      <name val="Calibri"/>
      <family val="2"/>
    </font>
    <font>
      <b/>
      <vertAlign val="sub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165" fontId="3" fillId="0" borderId="9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13" xfId="0" applyFont="1" applyBorder="1"/>
    <xf numFmtId="1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14" fontId="2" fillId="0" borderId="0" xfId="0" applyNumberFormat="1" applyFont="1"/>
    <xf numFmtId="165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ADEB-34D7-43EC-8082-88D50E430BFF}">
  <dimension ref="A1:Q48"/>
  <sheetViews>
    <sheetView tabSelected="1" view="pageBreakPreview" zoomScale="115" zoomScaleNormal="85" zoomScaleSheetLayoutView="115" workbookViewId="0"/>
  </sheetViews>
  <sheetFormatPr baseColWidth="10" defaultColWidth="11.453125" defaultRowHeight="14.5" x14ac:dyDescent="0.35"/>
  <cols>
    <col min="1" max="2" width="12.7265625" customWidth="1"/>
    <col min="3" max="17" width="11.453125" customWidth="1"/>
  </cols>
  <sheetData>
    <row r="1" spans="1:17" ht="15.5" x14ac:dyDescent="0.35">
      <c r="A1" s="2" t="s">
        <v>0</v>
      </c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1"/>
    </row>
    <row r="2" spans="1:17" ht="15.5" x14ac:dyDescent="0.35">
      <c r="A2" s="2" t="s">
        <v>1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15" customHeight="1" x14ac:dyDescent="0.35">
      <c r="A3" s="5"/>
      <c r="B3" s="3"/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15.5" x14ac:dyDescent="0.35">
      <c r="A4" s="6" t="s">
        <v>2</v>
      </c>
      <c r="B4" s="3"/>
      <c r="C4" s="3"/>
      <c r="D4" s="3"/>
      <c r="E4" s="3"/>
      <c r="F4" s="4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15.5" x14ac:dyDescent="0.35">
      <c r="A5" s="6"/>
      <c r="B5" s="3"/>
      <c r="C5" s="3"/>
      <c r="D5" s="3"/>
      <c r="E5" s="3"/>
      <c r="F5" s="4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7" ht="15.5" x14ac:dyDescent="0.35">
      <c r="A6" s="3" t="s">
        <v>3</v>
      </c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7" ht="15.5" x14ac:dyDescent="0.35">
      <c r="A7" s="3" t="s">
        <v>4</v>
      </c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ht="15.5" x14ac:dyDescent="0.35">
      <c r="A8" s="3" t="s">
        <v>5</v>
      </c>
      <c r="B8" s="3"/>
      <c r="C8" s="3"/>
      <c r="D8" s="3"/>
      <c r="E8" s="3"/>
      <c r="F8" s="4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7" ht="15.5" x14ac:dyDescent="0.35">
      <c r="A9" s="3"/>
      <c r="B9" s="3"/>
      <c r="C9" s="3"/>
      <c r="D9" s="3"/>
      <c r="E9" s="3"/>
      <c r="F9" s="4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7" ht="15.5" x14ac:dyDescent="0.35">
      <c r="A10" s="3" t="s">
        <v>6</v>
      </c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7" ht="15.5" x14ac:dyDescent="0.35">
      <c r="A11" s="3" t="s">
        <v>7</v>
      </c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7" ht="15.5" x14ac:dyDescent="0.35">
      <c r="A12" s="3" t="s">
        <v>8</v>
      </c>
      <c r="B12" s="3"/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7" ht="15.5" x14ac:dyDescent="0.35">
      <c r="A13" s="3" t="s">
        <v>9</v>
      </c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7" ht="15.5" x14ac:dyDescent="0.35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7" ht="15.5" x14ac:dyDescent="0.35">
      <c r="A15" s="6" t="s">
        <v>10</v>
      </c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7" ht="16" thickBot="1" x14ac:dyDescent="0.4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" customHeight="1" x14ac:dyDescent="0.35">
      <c r="A17" s="38" t="s">
        <v>11</v>
      </c>
      <c r="B17" s="36" t="s">
        <v>12</v>
      </c>
      <c r="C17" s="40" t="s">
        <v>13</v>
      </c>
      <c r="D17" s="42" t="s">
        <v>14</v>
      </c>
      <c r="E17" s="42" t="s">
        <v>15</v>
      </c>
      <c r="F17" s="36" t="s">
        <v>16</v>
      </c>
      <c r="G17" s="29" t="s">
        <v>17</v>
      </c>
      <c r="H17" s="29"/>
      <c r="I17" s="30" t="s">
        <v>18</v>
      </c>
      <c r="J17" s="31"/>
      <c r="K17" s="32"/>
      <c r="L17" s="33" t="s">
        <v>19</v>
      </c>
      <c r="M17" s="33" t="s">
        <v>20</v>
      </c>
      <c r="N17" s="30" t="s">
        <v>21</v>
      </c>
      <c r="O17" s="31"/>
      <c r="P17" s="35"/>
    </row>
    <row r="18" spans="1:16" ht="16" thickBot="1" x14ac:dyDescent="0.4">
      <c r="A18" s="39"/>
      <c r="B18" s="37"/>
      <c r="C18" s="41"/>
      <c r="D18" s="43"/>
      <c r="E18" s="43"/>
      <c r="F18" s="37"/>
      <c r="G18" s="7" t="s">
        <v>22</v>
      </c>
      <c r="H18" s="7" t="s">
        <v>23</v>
      </c>
      <c r="I18" s="7" t="s">
        <v>22</v>
      </c>
      <c r="J18" s="7" t="s">
        <v>23</v>
      </c>
      <c r="K18" s="7" t="s">
        <v>24</v>
      </c>
      <c r="L18" s="34"/>
      <c r="M18" s="34"/>
      <c r="N18" s="8" t="s">
        <v>22</v>
      </c>
      <c r="O18" s="8" t="s">
        <v>23</v>
      </c>
      <c r="P18" s="9" t="s">
        <v>24</v>
      </c>
    </row>
    <row r="19" spans="1:16" ht="15.5" x14ac:dyDescent="0.35">
      <c r="A19" s="10"/>
      <c r="B19" s="11"/>
      <c r="C19" s="11"/>
      <c r="D19" s="11"/>
      <c r="E19" s="11"/>
      <c r="F19" s="12"/>
      <c r="G19" s="11"/>
      <c r="H19" s="11"/>
      <c r="I19" s="11"/>
      <c r="J19" s="11"/>
      <c r="K19" s="11"/>
      <c r="L19" s="11"/>
      <c r="M19" s="11"/>
      <c r="N19" s="11"/>
      <c r="O19" s="11"/>
      <c r="P19" s="13"/>
    </row>
    <row r="20" spans="1:16" ht="15.5" x14ac:dyDescent="0.35">
      <c r="A20" s="14" t="s">
        <v>25</v>
      </c>
      <c r="B20" s="15">
        <v>21.347999999999999</v>
      </c>
      <c r="C20" s="16">
        <v>100.08</v>
      </c>
      <c r="D20" s="15">
        <v>9.0820000000000007</v>
      </c>
      <c r="E20" s="15">
        <v>2.9940000000000002</v>
      </c>
      <c r="F20" s="15">
        <f>B20/(C20*D20*E20)*1000</f>
        <v>7.8447047702534762</v>
      </c>
      <c r="G20" s="17">
        <v>1587.4280000000001</v>
      </c>
      <c r="H20" s="17">
        <v>4698.4930000000004</v>
      </c>
      <c r="I20" s="18">
        <v>210.63126769653948</v>
      </c>
      <c r="J20" s="18">
        <v>211.12126013449898</v>
      </c>
      <c r="K20" s="18">
        <f>AVERAGE(I20:J20)</f>
        <v>210.87626391551925</v>
      </c>
      <c r="L20" s="17">
        <v>8944.4660000000003</v>
      </c>
      <c r="M20" s="18">
        <v>80.38018032315216</v>
      </c>
      <c r="N20" s="19">
        <f>(I20/(2*M20))-1</f>
        <v>0.31021892990124766</v>
      </c>
      <c r="O20" s="19">
        <f>(J20/(2*M20))-1</f>
        <v>0.31326689792016449</v>
      </c>
      <c r="P20" s="20">
        <f>AVERAGE(N20:O20)</f>
        <v>0.31174291391070608</v>
      </c>
    </row>
    <row r="21" spans="1:16" ht="15.5" x14ac:dyDescent="0.35">
      <c r="A21" s="14" t="s">
        <v>26</v>
      </c>
      <c r="B21" s="15">
        <v>21.361999999999998</v>
      </c>
      <c r="C21" s="16">
        <v>100.05</v>
      </c>
      <c r="D21" s="15">
        <v>9.0670000000000002</v>
      </c>
      <c r="E21" s="15">
        <v>3.0019999999999998</v>
      </c>
      <c r="F21" s="15">
        <f>B21/(C21*D21*E21)*1000</f>
        <v>7.8442335225768334</v>
      </c>
      <c r="G21" s="17">
        <v>1598.7470000000001</v>
      </c>
      <c r="H21" s="17">
        <v>4707.067</v>
      </c>
      <c r="I21" s="18">
        <v>212.24854190237068</v>
      </c>
      <c r="J21" s="18">
        <v>212.50413455126414</v>
      </c>
      <c r="K21" s="18">
        <f t="shared" ref="K21:K24" si="0">AVERAGE(I21:J21)</f>
        <v>212.37633822681741</v>
      </c>
      <c r="L21" s="17">
        <v>8901.0110000000004</v>
      </c>
      <c r="M21" s="18">
        <v>79.024794341958085</v>
      </c>
      <c r="N21" s="19">
        <f t="shared" ref="N21:N24" si="1">(I21/(2*M21))-1</f>
        <v>0.34292372204047394</v>
      </c>
      <c r="O21" s="19">
        <f t="shared" ref="O21:O24" si="2">(J21/(2*M21))-1</f>
        <v>0.34454088948153982</v>
      </c>
      <c r="P21" s="20">
        <f t="shared" ref="P21:P24" si="3">AVERAGE(N21:O21)</f>
        <v>0.34373230576100688</v>
      </c>
    </row>
    <row r="22" spans="1:16" ht="15.5" x14ac:dyDescent="0.35">
      <c r="A22" s="14"/>
      <c r="B22" s="15"/>
      <c r="C22" s="16"/>
      <c r="D22" s="15"/>
      <c r="E22" s="15"/>
      <c r="F22" s="15"/>
      <c r="G22" s="17"/>
      <c r="H22" s="17"/>
      <c r="I22" s="18"/>
      <c r="J22" s="18"/>
      <c r="K22" s="18"/>
      <c r="L22" s="17"/>
      <c r="M22" s="18"/>
      <c r="N22" s="19"/>
      <c r="O22" s="19"/>
      <c r="P22" s="20"/>
    </row>
    <row r="23" spans="1:16" ht="15.5" x14ac:dyDescent="0.35">
      <c r="A23" s="14" t="s">
        <v>27</v>
      </c>
      <c r="B23" s="15">
        <v>21.361000000000001</v>
      </c>
      <c r="C23" s="16">
        <v>100.08</v>
      </c>
      <c r="D23" s="15">
        <v>9.0830000000000002</v>
      </c>
      <c r="E23" s="15">
        <v>2.9950000000000001</v>
      </c>
      <c r="F23" s="15">
        <f t="shared" ref="F23:F24" si="4">B23/(C23*D23*E23)*1000</f>
        <v>7.8459970846165712</v>
      </c>
      <c r="G23" s="17">
        <v>1608.28</v>
      </c>
      <c r="H23" s="17">
        <v>4755.8559999999998</v>
      </c>
      <c r="I23" s="18">
        <v>216.09328342233576</v>
      </c>
      <c r="J23" s="18">
        <v>216.53875661158455</v>
      </c>
      <c r="K23" s="18">
        <f t="shared" si="0"/>
        <v>216.31602001696015</v>
      </c>
      <c r="L23" s="17">
        <v>8936.5439999999999</v>
      </c>
      <c r="M23" s="18">
        <v>80.223597446799857</v>
      </c>
      <c r="N23" s="19">
        <f t="shared" si="1"/>
        <v>0.34681870608979892</v>
      </c>
      <c r="O23" s="19">
        <f t="shared" si="2"/>
        <v>0.34959515344086789</v>
      </c>
      <c r="P23" s="20">
        <f t="shared" si="3"/>
        <v>0.34820692976533341</v>
      </c>
    </row>
    <row r="24" spans="1:16" ht="15.5" x14ac:dyDescent="0.35">
      <c r="A24" s="14" t="s">
        <v>28</v>
      </c>
      <c r="B24" s="15">
        <v>21.367000000000001</v>
      </c>
      <c r="C24" s="16">
        <v>100.05</v>
      </c>
      <c r="D24" s="15">
        <v>9.0869999999999997</v>
      </c>
      <c r="E24" s="15">
        <v>2.996</v>
      </c>
      <c r="F24" s="15">
        <f t="shared" si="4"/>
        <v>7.8444792752834678</v>
      </c>
      <c r="G24" s="17">
        <v>1606.268</v>
      </c>
      <c r="H24" s="17">
        <v>4753.8209999999999</v>
      </c>
      <c r="I24" s="18">
        <v>215.11088529967742</v>
      </c>
      <c r="J24" s="18">
        <v>215.79146123506715</v>
      </c>
      <c r="K24" s="18">
        <f t="shared" si="0"/>
        <v>215.45117326737227</v>
      </c>
      <c r="L24" s="17">
        <v>8962.7710000000006</v>
      </c>
      <c r="M24" s="18">
        <v>80.64433082266504</v>
      </c>
      <c r="N24" s="19">
        <f t="shared" si="1"/>
        <v>0.33370122304505889</v>
      </c>
      <c r="O24" s="19">
        <f t="shared" si="2"/>
        <v>0.33792083729721445</v>
      </c>
      <c r="P24" s="20">
        <f t="shared" si="3"/>
        <v>0.33581103017113667</v>
      </c>
    </row>
    <row r="25" spans="1:16" ht="16" thickBot="1" x14ac:dyDescent="0.4">
      <c r="A25" s="21"/>
      <c r="B25" s="22"/>
      <c r="C25" s="23"/>
      <c r="D25" s="22"/>
      <c r="E25" s="22"/>
      <c r="F25" s="22"/>
      <c r="G25" s="24"/>
      <c r="H25" s="24"/>
      <c r="I25" s="25"/>
      <c r="J25" s="25"/>
      <c r="K25" s="25"/>
      <c r="L25" s="24"/>
      <c r="M25" s="25"/>
      <c r="N25" s="26"/>
      <c r="O25" s="26"/>
      <c r="P25" s="27"/>
    </row>
    <row r="26" spans="1:16" ht="15.5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5.5" x14ac:dyDescent="0.35">
      <c r="A27" s="6" t="s">
        <v>29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5.5" x14ac:dyDescent="0.35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5.5" x14ac:dyDescent="0.35">
      <c r="A29" s="3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5.5" x14ac:dyDescent="0.35">
      <c r="A30" s="3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5.5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5.5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5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5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5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5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.5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.5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5.5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5.5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5.5" x14ac:dyDescent="0.35">
      <c r="A41" s="6" t="s">
        <v>32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5.5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5.5" x14ac:dyDescent="0.35">
      <c r="A43" s="3" t="s">
        <v>33</v>
      </c>
      <c r="B43" s="28"/>
      <c r="C43" s="3"/>
      <c r="D43" s="3"/>
      <c r="E43" s="3"/>
      <c r="F43" s="3"/>
      <c r="G43" s="3"/>
      <c r="H43" s="3" t="s">
        <v>33</v>
      </c>
      <c r="I43" s="28"/>
      <c r="J43" s="3"/>
      <c r="K43" s="3"/>
      <c r="L43" s="3"/>
      <c r="M43" s="3"/>
      <c r="N43" s="3"/>
      <c r="O43" s="3"/>
      <c r="P43" s="3"/>
    </row>
    <row r="44" spans="1:16" ht="15.5" x14ac:dyDescent="0.35">
      <c r="J44" s="3"/>
      <c r="K44" s="3"/>
      <c r="L44" s="3"/>
      <c r="M44" s="3"/>
      <c r="N44" s="3"/>
      <c r="O44" s="3"/>
      <c r="P44" s="3"/>
    </row>
    <row r="45" spans="1:16" ht="15.5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5.5" x14ac:dyDescent="0.35">
      <c r="A46" s="3" t="s">
        <v>34</v>
      </c>
      <c r="B46" s="3"/>
      <c r="C46" s="3"/>
      <c r="D46" s="3"/>
      <c r="E46" s="3"/>
      <c r="F46" s="3"/>
      <c r="G46" s="3"/>
      <c r="H46" s="3" t="s">
        <v>35</v>
      </c>
      <c r="I46" s="3"/>
      <c r="J46" s="3"/>
      <c r="K46" s="3"/>
      <c r="L46" s="3"/>
      <c r="M46" s="3"/>
      <c r="N46" s="3"/>
      <c r="O46" s="3"/>
      <c r="P46" s="3"/>
    </row>
    <row r="47" spans="1:16" ht="15.5" x14ac:dyDescent="0.35">
      <c r="K47" s="3"/>
      <c r="L47" s="3"/>
      <c r="M47" s="3"/>
      <c r="N47" s="3"/>
      <c r="O47" s="3"/>
      <c r="P47" s="3"/>
    </row>
    <row r="48" spans="1:16" ht="15.5" x14ac:dyDescent="0.35">
      <c r="K48" s="3"/>
      <c r="L48" s="3"/>
      <c r="M48" s="3"/>
      <c r="N48" s="3"/>
      <c r="O48" s="3"/>
      <c r="P48" s="3"/>
    </row>
  </sheetData>
  <mergeCells count="11">
    <mergeCell ref="F17:F18"/>
    <mergeCell ref="A17:A18"/>
    <mergeCell ref="B17:B18"/>
    <mergeCell ref="C17:C18"/>
    <mergeCell ref="D17:D18"/>
    <mergeCell ref="E17:E18"/>
    <mergeCell ref="G17:H17"/>
    <mergeCell ref="I17:K17"/>
    <mergeCell ref="L17:L18"/>
    <mergeCell ref="M17:M18"/>
    <mergeCell ref="N17:P17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  <headerFooter>
    <oddHeader>&amp;L&amp;14Aktenzeichen: 5.22/430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Ergebnisse Gesamt Resonanz</vt:lpstr>
      <vt:lpstr>'Ergebnisse Gesamt Resonanz'!Druckbereich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Bayram, Faruk</dc:creator>
  <cp:keywords/>
  <dc:description/>
  <cp:lastModifiedBy>Schilling, Markus</cp:lastModifiedBy>
  <cp:revision/>
  <dcterms:created xsi:type="dcterms:W3CDTF">2021-06-07T08:48:54Z</dcterms:created>
  <dcterms:modified xsi:type="dcterms:W3CDTF">2022-06-17T13:07:04Z</dcterms:modified>
  <cp:category/>
  <cp:contentStatus/>
</cp:coreProperties>
</file>